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90" windowHeight="7500" activeTab="1"/>
  </bookViews>
  <sheets>
    <sheet name="Sheet1" sheetId="1" r:id="rId1"/>
    <sheet name="Lookup Solutions" sheetId="2" r:id="rId2"/>
    <sheet name="Pivot Sheet1" sheetId="5" r:id="rId3"/>
    <sheet name="Pivot Sheet2" sheetId="6" r:id="rId4"/>
    <sheet name="Pivot Sheet3" sheetId="8" r:id="rId5"/>
    <sheet name="Pivot Sheet4" sheetId="10" r:id="rId6"/>
    <sheet name="Pivot Sheet5" sheetId="11" r:id="rId7"/>
    <sheet name="Sheet3" sheetId="3" r:id="rId8"/>
  </sheets>
  <calcPr calcId="191029"/>
  <pivotCaches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3" i="2"/>
  <c r="A2" i="2" a="1"/>
  <c r="A2" i="2"/>
  <c r="A1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<sst xmlns="http://schemas.openxmlformats.org/spreadsheetml/2006/main" count="249" uniqueCount="47">
  <si>
    <t>Customer Name</t>
  </si>
  <si>
    <t>Order Priority</t>
  </si>
  <si>
    <t>Order Quantity</t>
  </si>
  <si>
    <t>Sales</t>
  </si>
  <si>
    <t>Discount</t>
  </si>
  <si>
    <t>Ship Mode</t>
  </si>
  <si>
    <t>Profit</t>
  </si>
  <si>
    <t>Region</t>
  </si>
  <si>
    <t>Customer Segment</t>
  </si>
  <si>
    <t>Date</t>
  </si>
  <si>
    <t>Ruben Dartt</t>
  </si>
  <si>
    <t>Not Specified</t>
  </si>
  <si>
    <t>Regular Air</t>
  </si>
  <si>
    <t>West</t>
  </si>
  <si>
    <t>Corporate</t>
  </si>
  <si>
    <t>Roy Collins</t>
  </si>
  <si>
    <t>High</t>
  </si>
  <si>
    <t>Express Air</t>
  </si>
  <si>
    <t>Prarie</t>
  </si>
  <si>
    <t>Pauline Chand</t>
  </si>
  <si>
    <t>Low</t>
  </si>
  <si>
    <t>Ontario</t>
  </si>
  <si>
    <t>Muhammed MacIntyre</t>
  </si>
  <si>
    <t>Nunavut</t>
  </si>
  <si>
    <t>Small Business</t>
  </si>
  <si>
    <t>Julie Creighton</t>
  </si>
  <si>
    <t>Liz Pelletier</t>
  </si>
  <si>
    <t>Delivery Truck</t>
  </si>
  <si>
    <t>Craig Yedwab</t>
  </si>
  <si>
    <t>Medium</t>
  </si>
  <si>
    <t>Yukon</t>
  </si>
  <si>
    <t>Consumer</t>
  </si>
  <si>
    <t>Jonathan Doherty</t>
  </si>
  <si>
    <t>Tamara Dahlen</t>
  </si>
  <si>
    <t>Critical</t>
  </si>
  <si>
    <t>Keith Dawkins</t>
  </si>
  <si>
    <t>Home Office</t>
  </si>
  <si>
    <t>Arthur Gainer</t>
  </si>
  <si>
    <t>Sample Company A</t>
  </si>
  <si>
    <t>Helen Wasserman</t>
  </si>
  <si>
    <t>Quebec</t>
  </si>
  <si>
    <r>
      <t xml:space="preserve">Executive Summary: Data Retrieval Methodology
</t>
    </r>
    <r>
      <rPr>
        <b/>
        <sz val="16"/>
        <color theme="1"/>
        <rFont val="SimSun"/>
        <charset val="134"/>
      </rPr>
      <t>－</t>
    </r>
    <r>
      <rPr>
        <sz val="14"/>
        <color theme="1"/>
        <rFont val="Calibri"/>
        <charset val="134"/>
        <scheme val="minor"/>
      </rPr>
      <t xml:space="preserve"> </t>
    </r>
    <r>
      <rPr>
        <b/>
        <sz val="14"/>
        <color theme="1"/>
        <rFont val="Calibri"/>
        <charset val="134"/>
        <scheme val="minor"/>
      </rPr>
      <t>Objectives</t>
    </r>
    <r>
      <rPr>
        <sz val="14"/>
        <color theme="1"/>
        <rFont val="Calibri"/>
        <charset val="134"/>
        <scheme val="minor"/>
      </rPr>
      <t xml:space="preserve">:
 To automate the extraction of specific
customer and sales data from the master dataset.
</t>
    </r>
    <r>
      <rPr>
        <sz val="14"/>
        <color theme="1"/>
        <rFont val="SimSun"/>
        <charset val="134"/>
      </rPr>
      <t>－</t>
    </r>
    <r>
      <rPr>
        <b/>
        <sz val="14"/>
        <color theme="1"/>
        <rFont val="Calibri"/>
        <charset val="134"/>
        <scheme val="minor"/>
      </rPr>
      <t>Technical Approach:</t>
    </r>
    <r>
      <rPr>
        <sz val="14"/>
        <color theme="1"/>
        <rFont val="Calibri"/>
        <charset val="134"/>
        <scheme val="minor"/>
      </rPr>
      <t xml:space="preserve">
 Tools Used:
Utlized VLOOKUP, INDEX/MATCH, and XLOOKUP functions.
</t>
    </r>
    <r>
      <rPr>
        <sz val="14"/>
        <color theme="1"/>
        <rFont val="SimSun"/>
        <charset val="134"/>
      </rPr>
      <t>－</t>
    </r>
    <r>
      <rPr>
        <b/>
        <sz val="14"/>
        <color theme="1"/>
        <rFont val="Calibri"/>
        <charset val="134"/>
        <scheme val="minor"/>
      </rPr>
      <t>Methodology:</t>
    </r>
    <r>
      <rPr>
        <sz val="14"/>
        <color theme="1"/>
        <rFont val="Calibri"/>
        <charset val="134"/>
        <scheme val="minor"/>
      </rPr>
      <t xml:space="preserve"> 
Established a dynamic link between search criteria and source arrays.
</t>
    </r>
    <r>
      <rPr>
        <sz val="14"/>
        <color theme="1"/>
        <rFont val="SimSun"/>
        <charset val="134"/>
      </rPr>
      <t>－</t>
    </r>
    <r>
      <rPr>
        <b/>
        <sz val="14"/>
        <color theme="1"/>
        <rFont val="Calibri"/>
        <charset val="134"/>
        <scheme val="minor"/>
      </rPr>
      <t>Result</t>
    </r>
    <r>
      <rPr>
        <sz val="14"/>
        <color theme="1"/>
        <rFont val="Calibri"/>
        <charset val="134"/>
        <scheme val="minor"/>
      </rPr>
      <t xml:space="preserve">:
Automated, eror- proof data retrieval. </t>
    </r>
  </si>
  <si>
    <t>Sum of Order Quatity</t>
  </si>
  <si>
    <t>Grand Total</t>
  </si>
  <si>
    <t>Sum of Sales</t>
  </si>
  <si>
    <t>Sum of Profit</t>
  </si>
  <si>
    <t>Order Quatity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</si>
</sst>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m/d/yyyy;@"/>
    <numFmt numFmtId="169" formatCode="0_ "/>
  </numFmts>
  <fonts count="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6"/>
      <color theme="1"/>
      <name val="Calibri"/>
      <charset val="134"/>
      <scheme val="minor"/>
    </font>
    <font>
      <b/>
      <sz val="16"/>
      <color theme="1"/>
      <name val="SimSun"/>
      <charset val="134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SimSun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E2F3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8" fontId="0" fillId="2" borderId="1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 applyProtection="1">
      <alignment horizontal="center"/>
    </xf>
    <xf numFmtId="0" fontId="0" fillId="4" borderId="1" xfId="0" applyNumberFormat="1" applyFont="1" applyFill="1" applyBorder="1" applyAlignment="1" applyProtection="1">
      <alignment horizontal="center"/>
    </xf>
    <xf numFmtId="168" fontId="1" fillId="2" borderId="1" xfId="0" applyNumberFormat="1" applyFont="1" applyFill="1" applyBorder="1" applyAlignment="1">
      <alignment horizontal="center" vertical="center"/>
    </xf>
    <xf numFmtId="168" fontId="2" fillId="3" borderId="1" xfId="0" applyNumberFormat="1" applyFont="1" applyFill="1" applyBorder="1" applyAlignment="1" applyProtection="1">
      <alignment horizontal="center"/>
    </xf>
    <xf numFmtId="168" fontId="2" fillId="4" borderId="1" xfId="0" applyNumberFormat="1" applyFont="1" applyFill="1" applyBorder="1" applyAlignment="1" applyProtection="1">
      <alignment horizontal="center"/>
    </xf>
    <xf numFmtId="14" fontId="0" fillId="0" borderId="0" xfId="0" applyNumberForma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1" fillId="5" borderId="0" xfId="0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169" fontId="0" fillId="0" borderId="1" xfId="0" applyNumberForma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9" fontId="1" fillId="5" borderId="1" xfId="0" applyNumberFormat="1" applyFont="1" applyFill="1" applyBorder="1" applyAlignment="1">
      <alignment horizontal="center" vertical="center"/>
    </xf>
    <xf numFmtId="169" fontId="2" fillId="0" borderId="1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</cellXfs>
  <cellStyles count="1">
    <cellStyle name="Normal" xfId="0" builtinId="0"/>
  </cellStyles>
  <dxfs count="2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Preset3_Accent1" defaultPivotStyle="PivotStylePreset2_Accent1">
    <tableStyle name="TableStylePreset3_Accent1" pivot="0" count="7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 Table-style" pivot="0" count="3">
      <tableStyleElement type="headerRow" dxfId="12"/>
      <tableStyleElement type="firstRowStripe" dxfId="11"/>
      <tableStyleElement type="secondRow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4437C7"/>
      <color rgb="FF06F8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[EFOSA_PRECIOUS_LOOKUP MINI PROJECT 3MTT.xlsx]Pivot 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Sheet1'!$B$3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Sheet1'!$A$4:$A$5</c:f>
              <c:strCache>
                <c:ptCount val="1"/>
                <c:pt idx="0">
                  <c:v>Liz Pelletier</c:v>
                </c:pt>
              </c:strCache>
            </c:strRef>
          </c:cat>
          <c:val>
            <c:numRef>
              <c:f>'Pivot Sheet1'!$B$4:$B$5</c:f>
              <c:numCache>
                <c:formatCode>General</c:formatCode>
                <c:ptCount val="1"/>
                <c:pt idx="0">
                  <c:v>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205674752"/>
        <c:axId val="232487168"/>
      </c:barChart>
      <c:catAx>
        <c:axId val="205674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487168"/>
        <c:crosses val="autoZero"/>
        <c:auto val="1"/>
        <c:lblAlgn val="ctr"/>
        <c:lblOffset val="100"/>
        <c:noMultiLvlLbl val="0"/>
      </c:catAx>
      <c:valAx>
        <c:axId val="2324871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5674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 rtl="0"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[EFOSA_PRECIOUS_LOOKUP MINI PROJECT 3MTT.xlsx]Pivot Sheet2!PivotTable2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ORDER PRIORITY CATEGORY</a:t>
            </a:r>
          </a:p>
        </c:rich>
      </c:tx>
      <c:layout>
        <c:manualLayout>
          <c:xMode val="edge"/>
          <c:yMode val="edge"/>
          <c:x val="0.320589140921687"/>
          <c:y val="4.3795619591332699E-2"/>
        </c:manualLayout>
      </c:layout>
      <c:overlay val="0"/>
      <c:spPr>
        <a:solidFill>
          <a:schemeClr val="bg1"/>
        </a:solidFill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Sheet2'!$B$3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Sheet2'!$A$4:$A$9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  <c:pt idx="4">
                  <c:v>Not Specified</c:v>
                </c:pt>
              </c:strCache>
            </c:strRef>
          </c:cat>
          <c:val>
            <c:numRef>
              <c:f>'Pivot Sheet2'!$B$4:$B$9</c:f>
              <c:numCache>
                <c:formatCode>General</c:formatCode>
                <c:ptCount val="5"/>
                <c:pt idx="0">
                  <c:v>6297.4754999999996</c:v>
                </c:pt>
                <c:pt idx="1">
                  <c:v>10065.397000000001</c:v>
                </c:pt>
                <c:pt idx="2">
                  <c:v>8296.99</c:v>
                </c:pt>
                <c:pt idx="3">
                  <c:v>75.569999999999993</c:v>
                </c:pt>
                <c:pt idx="4">
                  <c:v>3425.9279999999999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81057024"/>
        <c:axId val="181059968"/>
      </c:barChart>
      <c:catAx>
        <c:axId val="181057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59968"/>
        <c:crosses val="autoZero"/>
        <c:auto val="1"/>
        <c:lblAlgn val="ctr"/>
        <c:lblOffset val="100"/>
        <c:noMultiLvlLbl val="0"/>
      </c:catAx>
      <c:valAx>
        <c:axId val="18105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570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 rtl="0"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[EFOSA_PRECIOUS_LOOKUP MINI PROJECT 3MTT.xlsx]Pivot Sheet3!PivotTable3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2009 SALES DISTRIBUTION</a:t>
            </a:r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Sheet3'!$B$3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Sheet3'!$A$4:$A$16</c:f>
              <c:strCache>
                <c:ptCount val="12"/>
                <c:pt idx="0">
                  <c:v>23 04 2009</c:v>
                </c:pt>
                <c:pt idx="1">
                  <c:v>25 04 2009</c:v>
                </c:pt>
                <c:pt idx="2">
                  <c:v>27 04 2009</c:v>
                </c:pt>
                <c:pt idx="3">
                  <c:v>28 04 2009</c:v>
                </c:pt>
                <c:pt idx="4">
                  <c:v>29 04 2009</c:v>
                </c:pt>
                <c:pt idx="5">
                  <c:v>1 05 2009</c:v>
                </c:pt>
                <c:pt idx="6">
                  <c:v>2 05 2009</c:v>
                </c:pt>
                <c:pt idx="7">
                  <c:v>3 05 2009</c:v>
                </c:pt>
                <c:pt idx="8">
                  <c:v>4 05 2009</c:v>
                </c:pt>
                <c:pt idx="9">
                  <c:v>5 05 2009</c:v>
                </c:pt>
                <c:pt idx="10">
                  <c:v>6 05 2009</c:v>
                </c:pt>
                <c:pt idx="11">
                  <c:v>7 05 2009</c:v>
                </c:pt>
              </c:strCache>
            </c:strRef>
          </c:cat>
          <c:val>
            <c:numRef>
              <c:f>'Pivot Sheet3'!$B$4:$B$16</c:f>
              <c:numCache>
                <c:formatCode>General</c:formatCode>
                <c:ptCount val="12"/>
                <c:pt idx="0">
                  <c:v>1892.848</c:v>
                </c:pt>
                <c:pt idx="1">
                  <c:v>261.54000000000002</c:v>
                </c:pt>
                <c:pt idx="2">
                  <c:v>1761.4</c:v>
                </c:pt>
                <c:pt idx="3">
                  <c:v>160.23349999999999</c:v>
                </c:pt>
                <c:pt idx="4">
                  <c:v>140.56</c:v>
                </c:pt>
                <c:pt idx="5">
                  <c:v>3812.73</c:v>
                </c:pt>
                <c:pt idx="6">
                  <c:v>6.93</c:v>
                </c:pt>
                <c:pt idx="7">
                  <c:v>75.569999999999993</c:v>
                </c:pt>
                <c:pt idx="8">
                  <c:v>108.15</c:v>
                </c:pt>
                <c:pt idx="9">
                  <c:v>575.11</c:v>
                </c:pt>
                <c:pt idx="10">
                  <c:v>461.89</c:v>
                </c:pt>
                <c:pt idx="11">
                  <c:v>2484.7455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181632384"/>
        <c:axId val="181638272"/>
      </c:barChart>
      <c:catAx>
        <c:axId val="181632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38272"/>
        <c:crosses val="autoZero"/>
        <c:auto val="1"/>
        <c:lblAlgn val="ctr"/>
        <c:lblOffset val="100"/>
        <c:noMultiLvlLbl val="0"/>
      </c:catAx>
      <c:valAx>
        <c:axId val="18163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3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[EFOSA_PRECIOUS_LOOKUP MINI PROJECT 3MTT.xlsx]Pivot Sheet4!PivotTable5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2012 REGIONAL PROFIT PERFORMANCE</a:t>
            </a:r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Sheet4'!$C$3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'Pivot Sheet4'!$A$4:$B$8</c:f>
              <c:multiLvlStrCache>
                <c:ptCount val="2"/>
                <c:lvl>
                  <c:pt idx="0">
                    <c:v>8 06 2012</c:v>
                  </c:pt>
                  <c:pt idx="1">
                    <c:v>26 04 2012</c:v>
                  </c:pt>
                </c:lvl>
                <c:lvl>
                  <c:pt idx="0">
                    <c:v>Ontario</c:v>
                  </c:pt>
                  <c:pt idx="1">
                    <c:v>West</c:v>
                  </c:pt>
                </c:lvl>
              </c:multiLvlStrCache>
            </c:multiLvlStrRef>
          </c:cat>
          <c:val>
            <c:numRef>
              <c:f>'Pivot Sheet4'!$C$4:$C$8</c:f>
              <c:numCache>
                <c:formatCode>General</c:formatCode>
                <c:ptCount val="2"/>
                <c:pt idx="0">
                  <c:v>-22.59</c:v>
                </c:pt>
                <c:pt idx="1">
                  <c:v>1054.82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100"/>
        <c:axId val="181696000"/>
        <c:axId val="181703040"/>
      </c:barChart>
      <c:catAx>
        <c:axId val="181696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03040"/>
        <c:crosses val="autoZero"/>
        <c:auto val="1"/>
        <c:lblAlgn val="ctr"/>
        <c:lblOffset val="100"/>
        <c:noMultiLvlLbl val="0"/>
      </c:catAx>
      <c:valAx>
        <c:axId val="18170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960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 rtl="0"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[EFOSA_PRECIOUS_LOOKUP MINI PROJECT 3MTT.xlsx]Pivot Sheet5!PivotTable6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SALES PERFORMANCE BY SEGMENT</a:t>
            </a:r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Sheet5'!$B$3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Sheet5'!$A$4:$A$8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'Pivot Sheet5'!$B$4:$B$8</c:f>
              <c:numCache>
                <c:formatCode>General</c:formatCode>
                <c:ptCount val="4"/>
                <c:pt idx="0">
                  <c:v>183.72</c:v>
                </c:pt>
                <c:pt idx="1">
                  <c:v>13178.6515</c:v>
                </c:pt>
                <c:pt idx="2">
                  <c:v>14537.449000000001</c:v>
                </c:pt>
                <c:pt idx="3">
                  <c:v>261.54000000000002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82171904"/>
        <c:axId val="182173696"/>
      </c:barChart>
      <c:catAx>
        <c:axId val="182171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73696"/>
        <c:crosses val="autoZero"/>
        <c:auto val="1"/>
        <c:lblAlgn val="ctr"/>
        <c:lblOffset val="100"/>
        <c:noMultiLvlLbl val="0"/>
      </c:catAx>
      <c:valAx>
        <c:axId val="18217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7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184150</xdr:colOff>
      <xdr:row>0</xdr:row>
      <xdr:rowOff>27305</xdr:rowOff>
    </xdr:from>
    <xdr:to>
      <xdr:col>9</xdr:col>
      <xdr:colOff>571500</xdr:colOff>
      <xdr:row>20</xdr:row>
      <xdr:rowOff>73660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28575</xdr:colOff>
      <xdr:row>3</xdr:row>
      <xdr:rowOff>130810</xdr:rowOff>
    </xdr:from>
    <xdr:ext cx="3023870" cy="1869440"/>
    <xdr:sp macro="" textlink="">
      <xdr:nvSpPr>
        <xdr:cNvPr id="3" name="Text Box 2"/>
        <xdr:cNvSpPr txBox="1"/>
      </xdr:nvSpPr>
      <xdr:spPr>
        <a:xfrm flipV="1">
          <a:off x="8677275" y="702310"/>
          <a:ext cx="3023870" cy="186944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 anchorCtr="0"/>
        <a:lstStyle/>
        <a:p>
          <a:pPr algn="l"/>
          <a:endParaRPr lang="en-US" altLang="en-GB" sz="1100"/>
        </a:p>
      </xdr:txBody>
    </xdr:sp>
    <xdr:clientData/>
  </xdr:oneCellAnchor>
  <xdr:twoCellAnchor>
    <xdr:from>
      <xdr:col>10</xdr:col>
      <xdr:colOff>200025</xdr:colOff>
      <xdr:row>0</xdr:row>
      <xdr:rowOff>9525</xdr:rowOff>
    </xdr:from>
    <xdr:to>
      <xdr:col>16</xdr:col>
      <xdr:colOff>322580</xdr:colOff>
      <xdr:row>22</xdr:row>
      <xdr:rowOff>26670</xdr:rowOff>
    </xdr:to>
    <xdr:sp macro="" textlink="">
      <xdr:nvSpPr>
        <xdr:cNvPr id="4" name="Text Box 3"/>
        <xdr:cNvSpPr txBox="1"/>
      </xdr:nvSpPr>
      <xdr:spPr>
        <a:xfrm>
          <a:off x="8848725" y="9525"/>
          <a:ext cx="3780155" cy="42081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en-GB" sz="1400" b="1">
              <a:ln>
                <a:solidFill>
                  <a:schemeClr val="bg1"/>
                </a:solidFill>
              </a:ln>
              <a:solidFill>
                <a:schemeClr val="tx1"/>
              </a:solidFill>
            </a:rPr>
            <a:t>Key Insight: Customer Order Performance</a:t>
          </a:r>
        </a:p>
        <a:p>
          <a:pPr algn="l"/>
          <a:endParaRPr lang="en-US" altLang="en-GB" sz="1400" b="1">
            <a:ln>
              <a:solidFill>
                <a:schemeClr val="bg1"/>
              </a:solidFill>
            </a:ln>
            <a:solidFill>
              <a:schemeClr val="tx1"/>
            </a:solidFill>
          </a:endParaRPr>
        </a:p>
        <a:p>
          <a:pPr algn="l"/>
          <a:r>
            <a:rPr lang="en-US" altLang="en-GB" sz="1400" b="1">
              <a:ln>
                <a:solidFill>
                  <a:schemeClr val="bg1"/>
                </a:solidFill>
              </a:ln>
              <a:solidFill>
                <a:schemeClr val="tx1"/>
              </a:solidFill>
            </a:rPr>
            <a:t>1.Top Performer:Helen Wasserman currently leads in order volume with 94 units.</a:t>
          </a:r>
        </a:p>
        <a:p>
          <a:pPr algn="l"/>
          <a:endParaRPr lang="en-US" altLang="en-GB" sz="1400" b="1">
            <a:ln>
              <a:solidFill>
                <a:schemeClr val="bg1"/>
              </a:solidFill>
            </a:ln>
            <a:solidFill>
              <a:schemeClr val="tx1"/>
            </a:solidFill>
          </a:endParaRPr>
        </a:p>
        <a:p>
          <a:pPr algn="l"/>
          <a:r>
            <a:rPr lang="en-US" altLang="en-GB" sz="1400" b="1">
              <a:ln>
                <a:solidFill>
                  <a:schemeClr val="bg1"/>
                </a:solidFill>
              </a:ln>
              <a:solidFill>
                <a:schemeClr val="tx1"/>
              </a:solidFill>
            </a:rPr>
            <a:t>2. Secondary Performer: Liz Pelletier is a stong contributor with 88 units.</a:t>
          </a:r>
        </a:p>
        <a:p>
          <a:pPr algn="l"/>
          <a:endParaRPr lang="en-US" altLang="en-GB" sz="1400" b="1">
            <a:ln>
              <a:solidFill>
                <a:schemeClr val="bg1"/>
              </a:solidFill>
            </a:ln>
            <a:solidFill>
              <a:schemeClr val="tx1"/>
            </a:solidFill>
          </a:endParaRPr>
        </a:p>
        <a:p>
          <a:pPr algn="l"/>
          <a:r>
            <a:rPr lang="en-US" altLang="en-GB" sz="1400" b="1">
              <a:ln>
                <a:solidFill>
                  <a:schemeClr val="bg1"/>
                </a:solidFill>
              </a:ln>
              <a:solidFill>
                <a:schemeClr val="tx1"/>
              </a:solidFill>
            </a:rPr>
            <a:t>Analysis:</a:t>
          </a:r>
        </a:p>
        <a:p>
          <a:pPr algn="l"/>
          <a:r>
            <a:rPr lang="en-US" altLang="en-GB" sz="1400" b="1">
              <a:ln>
                <a:solidFill>
                  <a:schemeClr val="bg1"/>
                </a:solidFill>
              </a:ln>
              <a:solidFill>
                <a:schemeClr val="tx1"/>
              </a:solidFill>
            </a:rPr>
            <a:t>Whlie Liz Pelletier maintains a significant order volume, Helen Wasserman is the primary driver of demand in this dataset.</a:t>
          </a:r>
        </a:p>
        <a:p>
          <a:pPr algn="l"/>
          <a:endParaRPr lang="en-US" altLang="en-GB" sz="1400" b="1">
            <a:ln>
              <a:solidFill>
                <a:schemeClr val="bg1"/>
              </a:solidFill>
            </a:ln>
            <a:solidFill>
              <a:schemeClr val="tx1"/>
            </a:solidFill>
          </a:endParaRPr>
        </a:p>
        <a:p>
          <a:pPr algn="l"/>
          <a:r>
            <a:rPr lang="en-US" altLang="en-GB" sz="1400" b="1">
              <a:ln>
                <a:solidFill>
                  <a:schemeClr val="bg1"/>
                </a:solidFill>
              </a:ln>
              <a:solidFill>
                <a:schemeClr val="tx1"/>
              </a:solidFill>
            </a:rPr>
            <a:t>Recommendations:</a:t>
          </a:r>
        </a:p>
        <a:p>
          <a:pPr algn="l"/>
          <a:r>
            <a:rPr lang="en-US" altLang="en-GB" sz="1400" b="1">
              <a:ln>
                <a:solidFill>
                  <a:schemeClr val="bg1"/>
                </a:solidFill>
              </a:ln>
              <a:solidFill>
                <a:schemeClr val="tx1"/>
              </a:solidFill>
            </a:rPr>
            <a:t>Focus engagement strategies on top- tier  accounts like Helen Wasserman to maintain high order volume, while still exploring other opportunities to increase oder frequency for consistent account like LIz Pelletier.</a:t>
          </a:r>
        </a:p>
        <a:p>
          <a:pPr algn="l"/>
          <a:r>
            <a:rPr lang="en-US" altLang="en-GB" sz="1400" b="1">
              <a:ln>
                <a:solidFill>
                  <a:schemeClr val="bg1"/>
                </a:solidFill>
              </a:ln>
              <a:solidFill>
                <a:schemeClr val="tx1"/>
              </a:solidFill>
            </a:rPr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0</xdr:row>
      <xdr:rowOff>136525</xdr:rowOff>
    </xdr:from>
    <xdr:to>
      <xdr:col>12</xdr:col>
      <xdr:colOff>462280</xdr:colOff>
      <xdr:row>17</xdr:row>
      <xdr:rowOff>116840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133350</xdr:colOff>
      <xdr:row>1</xdr:row>
      <xdr:rowOff>57150</xdr:rowOff>
    </xdr:from>
    <xdr:to>
      <xdr:col>19</xdr:col>
      <xdr:colOff>85725</xdr:colOff>
      <xdr:row>12</xdr:row>
      <xdr:rowOff>143510</xdr:rowOff>
    </xdr:to>
    <xdr:sp macro="" textlink="">
      <xdr:nvSpPr>
        <xdr:cNvPr id="3" name="Text Box 2"/>
        <xdr:cNvSpPr txBox="1"/>
      </xdr:nvSpPr>
      <xdr:spPr>
        <a:xfrm>
          <a:off x="8782050" y="247650"/>
          <a:ext cx="3609975" cy="21818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en-GB" sz="1400" b="1"/>
            <a:t>Key Insight:Order Priority</a:t>
          </a:r>
        </a:p>
        <a:p>
          <a:pPr algn="l"/>
          <a:r>
            <a:rPr lang="en-US" altLang="en-GB" sz="1400"/>
            <a:t>Trend: ‘High’ priority orders are the clear sales leader.</a:t>
          </a:r>
        </a:p>
        <a:p>
          <a:pPr algn="l"/>
          <a:endParaRPr lang="en-US" altLang="en-GB" sz="1400"/>
        </a:p>
        <a:p>
          <a:pPr algn="l"/>
          <a:r>
            <a:rPr lang="en-US" altLang="en-GB" sz="1400" b="1"/>
            <a:t>Recommendations: </a:t>
          </a:r>
        </a:p>
        <a:p>
          <a:pPr algn="l"/>
          <a:r>
            <a:rPr lang="en-US" altLang="en-GB" sz="1400"/>
            <a:t>Focus operations on ‘high’ priority fulfilment. Investigate why ‘medium’ priority volume is significantly lower to identify potential growth or process improvement.</a:t>
          </a:r>
        </a:p>
        <a:p>
          <a:pPr algn="l"/>
          <a:endParaRPr lang="en-US" altLang="en-GB" sz="1400"/>
        </a:p>
        <a:p>
          <a:pPr algn="l"/>
          <a:endParaRPr lang="en-US" altLang="en-GB" sz="1400"/>
        </a:p>
        <a:p>
          <a:pPr algn="l"/>
          <a:endParaRPr lang="en-US" altLang="en-GB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298450</xdr:colOff>
      <xdr:row>1</xdr:row>
      <xdr:rowOff>174625</xdr:rowOff>
    </xdr:from>
    <xdr:to>
      <xdr:col>11</xdr:col>
      <xdr:colOff>428625</xdr:colOff>
      <xdr:row>17</xdr:row>
      <xdr:rowOff>136525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495300</xdr:colOff>
      <xdr:row>1</xdr:row>
      <xdr:rowOff>106045</xdr:rowOff>
    </xdr:from>
    <xdr:to>
      <xdr:col>19</xdr:col>
      <xdr:colOff>65405</xdr:colOff>
      <xdr:row>14</xdr:row>
      <xdr:rowOff>74295</xdr:rowOff>
    </xdr:to>
    <xdr:sp macro="" textlink="">
      <xdr:nvSpPr>
        <xdr:cNvPr id="3" name="Text Box 2"/>
        <xdr:cNvSpPr txBox="1"/>
      </xdr:nvSpPr>
      <xdr:spPr>
        <a:xfrm>
          <a:off x="8267700" y="296545"/>
          <a:ext cx="3837305" cy="2444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en-GB" sz="1400" b="1"/>
            <a:t>Key Insight:2009 Sales Analysis</a:t>
          </a:r>
        </a:p>
        <a:p>
          <a:pPr algn="l"/>
          <a:r>
            <a:rPr lang="en-US" altLang="en-GB" sz="1400"/>
            <a:t>Trend: Sales volume fluntuate daily, with significant peak on 5/1/2009 and 5/7/2009.</a:t>
          </a:r>
        </a:p>
        <a:p>
          <a:pPr algn="l"/>
          <a:endParaRPr lang="en-US" altLang="en-GB" sz="1400"/>
        </a:p>
        <a:p>
          <a:pPr algn="l"/>
          <a:r>
            <a:rPr lang="en-US" altLang="en-GB" sz="1400" b="1"/>
            <a:t>Recommendations:</a:t>
          </a:r>
        </a:p>
        <a:p>
          <a:pPr algn="l"/>
          <a:r>
            <a:rPr lang="en-US" altLang="en-GB" sz="1400"/>
            <a:t>Investigate the factors driving the high sales 5/1/2009 to replicate these results in the future periods.</a:t>
          </a:r>
        </a:p>
        <a:p>
          <a:pPr algn="l"/>
          <a:r>
            <a:rPr lang="en-US" altLang="en-GB" sz="1400"/>
            <a:t>Use this peak data as a benchmark for average daily performance.</a:t>
          </a:r>
        </a:p>
        <a:p>
          <a:pPr algn="l"/>
          <a:endParaRPr lang="en-US" altLang="en-GB" sz="1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203200</xdr:colOff>
      <xdr:row>0</xdr:row>
      <xdr:rowOff>174625</xdr:rowOff>
    </xdr:from>
    <xdr:to>
      <xdr:col>12</xdr:col>
      <xdr:colOff>152400</xdr:colOff>
      <xdr:row>15</xdr:row>
      <xdr:rowOff>60325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304800</xdr:colOff>
      <xdr:row>1</xdr:row>
      <xdr:rowOff>9525</xdr:rowOff>
    </xdr:from>
    <xdr:to>
      <xdr:col>20</xdr:col>
      <xdr:colOff>227330</xdr:colOff>
      <xdr:row>13</xdr:row>
      <xdr:rowOff>8890</xdr:rowOff>
    </xdr:to>
    <xdr:sp macro="" textlink="">
      <xdr:nvSpPr>
        <xdr:cNvPr id="3" name="Text Box 2"/>
        <xdr:cNvSpPr txBox="1"/>
      </xdr:nvSpPr>
      <xdr:spPr>
        <a:xfrm>
          <a:off x="8191500" y="200025"/>
          <a:ext cx="4799330" cy="2285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en-GB" sz="1400" b="1"/>
            <a:t>Key Insigh: Regional Profit</a:t>
          </a:r>
        </a:p>
        <a:p>
          <a:pPr algn="l"/>
          <a:r>
            <a:rPr lang="en-US" altLang="en-GB" sz="1400"/>
            <a:t>The region with the least profit for the year 2012 is Ontario, which recorded a loss of -22.59 while the West regions remains profitable.</a:t>
          </a:r>
        </a:p>
        <a:p>
          <a:pPr algn="l"/>
          <a:endParaRPr lang="en-US" altLang="en-GB" sz="1400"/>
        </a:p>
        <a:p>
          <a:pPr algn="l"/>
          <a:r>
            <a:rPr lang="en-US" altLang="en-GB" sz="1400" b="1"/>
            <a:t>Recommendation:</a:t>
          </a:r>
        </a:p>
        <a:p>
          <a:pPr algn="l"/>
          <a:r>
            <a:rPr lang="en-US" altLang="en-GB" sz="1400"/>
            <a:t>Perform a cost-analysis on Ontario region to identify the source of the loss. Review pricing strategies or operational overhead in that specific territory to return it to profitability.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336550</xdr:colOff>
      <xdr:row>0</xdr:row>
      <xdr:rowOff>146050</xdr:rowOff>
    </xdr:from>
    <xdr:to>
      <xdr:col>10</xdr:col>
      <xdr:colOff>285750</xdr:colOff>
      <xdr:row>15</xdr:row>
      <xdr:rowOff>31750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114300</xdr:colOff>
      <xdr:row>1</xdr:row>
      <xdr:rowOff>104775</xdr:rowOff>
    </xdr:from>
    <xdr:to>
      <xdr:col>17</xdr:col>
      <xdr:colOff>390525</xdr:colOff>
      <xdr:row>14</xdr:row>
      <xdr:rowOff>28575</xdr:rowOff>
    </xdr:to>
    <xdr:sp macro="" textlink="">
      <xdr:nvSpPr>
        <xdr:cNvPr id="3" name="Text Box 2"/>
        <xdr:cNvSpPr txBox="1"/>
      </xdr:nvSpPr>
      <xdr:spPr>
        <a:xfrm>
          <a:off x="7896225" y="295275"/>
          <a:ext cx="3933825" cy="24003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altLang="en-GB" sz="1400" b="1"/>
            <a:t>Key Insight: Customer Segment Performance</a:t>
          </a:r>
        </a:p>
        <a:p>
          <a:pPr algn="l"/>
          <a:r>
            <a:rPr lang="en-US" altLang="en-GB" sz="1400"/>
            <a:t>Trend:The ‘Home Office’segment is our top revenue generator, narrowing outperforming ‘corporate’.</a:t>
          </a:r>
        </a:p>
        <a:p>
          <a:pPr algn="l"/>
          <a:endParaRPr lang="en-US" altLang="en-GB" sz="1400"/>
        </a:p>
        <a:p>
          <a:pPr algn="l"/>
          <a:r>
            <a:rPr lang="en-US" altLang="en-GB" sz="1400" b="1"/>
            <a:t>Recommendations:</a:t>
          </a:r>
        </a:p>
        <a:p>
          <a:pPr algn="l"/>
          <a:r>
            <a:rPr lang="en-US" altLang="en-GB" sz="1400"/>
            <a:t>Given the strong performance of ‘Home Office’priotize this segment for upcoming promotional campaigns and ensure dedicated support to maintain this market lead.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69.052546296298" createdVersion="5" refreshedVersion="5" minRefreshableVersion="3" recordCount="21">
  <cacheSource type="worksheet">
    <worksheetSource ref="A1:J1048576" sheet="Sheet3"/>
  </cacheSource>
  <cacheFields count="10">
    <cacheField name="Customer Name" numFmtId="0">
      <sharedItems containsBlank="1" count="14">
        <s v="Ruben Dartt"/>
        <s v="Roy Collins"/>
        <s v="Pauline Chand"/>
        <s v="Muhammed MacIntyre"/>
        <s v="Julie Creighton"/>
        <s v="Liz Pelletier"/>
        <s v="Craig Yedwab"/>
        <s v="Jonathan Doherty"/>
        <s v="Tamara Dahlen"/>
        <s v="Keith Dawkins"/>
        <s v="Arthur Gainer"/>
        <s v="Sample Company A"/>
        <s v="Helen Wasserman"/>
        <m/>
      </sharedItems>
    </cacheField>
    <cacheField name="Order Priority" numFmtId="0">
      <sharedItems containsBlank="1" count="6">
        <s v="Not Specified"/>
        <s v="High"/>
        <s v="Low"/>
        <s v="Medium"/>
        <s v="Critical"/>
        <m/>
      </sharedItems>
    </cacheField>
    <cacheField name="Order Quatity" numFmtId="0">
      <sharedItems containsString="0" containsBlank="1" containsNumber="1" containsInteger="1" minValue="2" maxValue="48" count="19">
        <n v="2"/>
        <n v="3"/>
        <n v="4"/>
        <n v="6"/>
        <n v="14"/>
        <n v="15"/>
        <n v="23"/>
        <n v="24"/>
        <n v="26"/>
        <n v="28"/>
        <n v="29"/>
        <n v="30"/>
        <n v="32"/>
        <n v="37"/>
        <n v="41"/>
        <n v="42"/>
        <n v="46"/>
        <n v="48"/>
        <m/>
      </sharedItems>
    </cacheField>
    <cacheField name="Sales" numFmtId="0">
      <sharedItems containsString="0" containsBlank="1" containsNumber="1" minValue="6.93" maxValue="7804.53" count="21">
        <n v="6.93"/>
        <n v="461.89"/>
        <n v="32.72"/>
        <n v="261.54000000000002"/>
        <n v="1892.848"/>
        <n v="140.56"/>
        <n v="160.23349999999999"/>
        <n v="1761.4"/>
        <n v="2808.08"/>
        <n v="75.569999999999993"/>
        <n v="51.53"/>
        <n v="575.11"/>
        <n v="288.56"/>
        <n v="3812.73"/>
        <n v="4158.1234999999997"/>
        <n v="108.15"/>
        <n v="1186.06"/>
        <n v="2484.7455"/>
        <n v="7804.53"/>
        <n v="90.05"/>
        <m/>
      </sharedItems>
    </cacheField>
    <cacheField name="Discount" numFmtId="0">
      <sharedItems containsString="0" containsBlank="1" containsNumber="1" minValue="0.01" maxValue="0.1" count="9">
        <n v="0.01"/>
        <n v="0.05"/>
        <n v="0.09"/>
        <n v="0.04"/>
        <n v="7.0000000000000007E-2"/>
        <n v="0.03"/>
        <n v="0.02"/>
        <n v="0.1"/>
        <m/>
      </sharedItems>
    </cacheField>
    <cacheField name="Ship Mode" numFmtId="0">
      <sharedItems containsBlank="1" count="4">
        <s v="Regular Air"/>
        <s v="Express Air"/>
        <s v="Delivery Truck"/>
        <m/>
      </sharedItems>
    </cacheField>
    <cacheField name="Profit" numFmtId="0">
      <sharedItems containsString="0" containsBlank="1" containsNumber="1" minValue="-1748.56" maxValue="2057.17" count="21">
        <n v="-4.6399999999999997"/>
        <n v="-309.82"/>
        <n v="-22.59"/>
        <n v="-213.25"/>
        <n v="48.99"/>
        <n v="-128.38"/>
        <n v="-85.13"/>
        <n v="-1748.56"/>
        <n v="1054.82"/>
        <n v="28.24"/>
        <n v="0.35"/>
        <n v="71.75"/>
        <n v="60.72"/>
        <n v="1470.3"/>
        <n v="1228.8900000000001"/>
        <n v="7.57"/>
        <n v="511.69"/>
        <n v="657.48"/>
        <n v="2057.17"/>
        <n v="-107"/>
        <m/>
      </sharedItems>
    </cacheField>
    <cacheField name="Region" numFmtId="0">
      <sharedItems containsBlank="1" count="7">
        <s v="West"/>
        <s v="Prarie"/>
        <s v="Ontario"/>
        <s v="Nunavut"/>
        <s v="Yukon"/>
        <s v="Quebec"/>
        <m/>
      </sharedItems>
    </cacheField>
    <cacheField name="Customer Segment" numFmtId="0">
      <sharedItems containsBlank="1" count="5">
        <s v="Corporate"/>
        <s v="Small Business"/>
        <s v="Consumer"/>
        <s v="Home Office"/>
        <m/>
      </sharedItems>
    </cacheField>
    <cacheField name="Date" numFmtId="168">
      <sharedItems containsNonDate="0" containsDate="1" containsString="0" containsBlank="1" minDate="2008-04-24T00:00:00" maxDate="2012-06-08T00:00:00" count="21">
        <d v="2009-05-02T00:00:00"/>
        <d v="2009-05-06T00:00:00"/>
        <d v="2012-06-08T00:00:00"/>
        <d v="2009-04-25T00:00:00"/>
        <d v="2009-04-23T00:00:00"/>
        <d v="2009-04-29T00:00:00"/>
        <d v="2009-04-28T00:00:00"/>
        <d v="2009-04-27T00:00:00"/>
        <d v="2012-04-26T00:00:00"/>
        <d v="2009-05-03T00:00:00"/>
        <d v="2010-05-09T00:00:00"/>
        <d v="2009-05-05T00:00:00"/>
        <d v="2008-04-24T00:00:00"/>
        <d v="2009-05-01T00:00:00"/>
        <d v="2011-04-30T00:00:00"/>
        <d v="2009-05-04T00:00:00"/>
        <d v="2011-05-08T00:00:00"/>
        <d v="2009-05-07T00:00:00"/>
        <d v="2011-12-10T00:00:00"/>
        <d v="2011-10-12T00:00: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</r>
  <r>
    <x v="2"/>
    <x v="2"/>
    <x v="2"/>
    <x v="2"/>
    <x v="2"/>
    <x v="0"/>
    <x v="2"/>
    <x v="2"/>
    <x v="0"/>
    <x v="2"/>
  </r>
  <r>
    <x v="3"/>
    <x v="2"/>
    <x v="3"/>
    <x v="3"/>
    <x v="3"/>
    <x v="0"/>
    <x v="3"/>
    <x v="3"/>
    <x v="1"/>
    <x v="3"/>
  </r>
  <r>
    <x v="4"/>
    <x v="0"/>
    <x v="4"/>
    <x v="4"/>
    <x v="0"/>
    <x v="0"/>
    <x v="4"/>
    <x v="0"/>
    <x v="0"/>
    <x v="4"/>
  </r>
  <r>
    <x v="5"/>
    <x v="1"/>
    <x v="5"/>
    <x v="5"/>
    <x v="3"/>
    <x v="0"/>
    <x v="5"/>
    <x v="1"/>
    <x v="0"/>
    <x v="5"/>
  </r>
  <r>
    <x v="5"/>
    <x v="1"/>
    <x v="6"/>
    <x v="6"/>
    <x v="3"/>
    <x v="0"/>
    <x v="6"/>
    <x v="0"/>
    <x v="0"/>
    <x v="6"/>
  </r>
  <r>
    <x v="5"/>
    <x v="1"/>
    <x v="7"/>
    <x v="7"/>
    <x v="2"/>
    <x v="2"/>
    <x v="7"/>
    <x v="0"/>
    <x v="0"/>
    <x v="7"/>
  </r>
  <r>
    <x v="5"/>
    <x v="1"/>
    <x v="8"/>
    <x v="8"/>
    <x v="4"/>
    <x v="0"/>
    <x v="8"/>
    <x v="0"/>
    <x v="0"/>
    <x v="8"/>
  </r>
  <r>
    <x v="6"/>
    <x v="3"/>
    <x v="8"/>
    <x v="9"/>
    <x v="5"/>
    <x v="0"/>
    <x v="9"/>
    <x v="4"/>
    <x v="2"/>
    <x v="9"/>
  </r>
  <r>
    <x v="7"/>
    <x v="0"/>
    <x v="9"/>
    <x v="10"/>
    <x v="5"/>
    <x v="1"/>
    <x v="10"/>
    <x v="1"/>
    <x v="0"/>
    <x v="10"/>
  </r>
  <r>
    <x v="1"/>
    <x v="1"/>
    <x v="10"/>
    <x v="11"/>
    <x v="6"/>
    <x v="0"/>
    <x v="11"/>
    <x v="1"/>
    <x v="0"/>
    <x v="11"/>
  </r>
  <r>
    <x v="4"/>
    <x v="0"/>
    <x v="11"/>
    <x v="12"/>
    <x v="5"/>
    <x v="0"/>
    <x v="12"/>
    <x v="0"/>
    <x v="0"/>
    <x v="12"/>
  </r>
  <r>
    <x v="8"/>
    <x v="4"/>
    <x v="12"/>
    <x v="13"/>
    <x v="6"/>
    <x v="0"/>
    <x v="13"/>
    <x v="2"/>
    <x v="0"/>
    <x v="13"/>
  </r>
  <r>
    <x v="9"/>
    <x v="1"/>
    <x v="13"/>
    <x v="14"/>
    <x v="0"/>
    <x v="0"/>
    <x v="14"/>
    <x v="1"/>
    <x v="3"/>
    <x v="14"/>
  </r>
  <r>
    <x v="10"/>
    <x v="2"/>
    <x v="14"/>
    <x v="15"/>
    <x v="2"/>
    <x v="0"/>
    <x v="15"/>
    <x v="0"/>
    <x v="2"/>
    <x v="15"/>
  </r>
  <r>
    <x v="7"/>
    <x v="0"/>
    <x v="15"/>
    <x v="16"/>
    <x v="2"/>
    <x v="0"/>
    <x v="16"/>
    <x v="1"/>
    <x v="0"/>
    <x v="16"/>
  </r>
  <r>
    <x v="11"/>
    <x v="4"/>
    <x v="16"/>
    <x v="17"/>
    <x v="7"/>
    <x v="0"/>
    <x v="17"/>
    <x v="0"/>
    <x v="3"/>
    <x v="17"/>
  </r>
  <r>
    <x v="12"/>
    <x v="2"/>
    <x v="16"/>
    <x v="18"/>
    <x v="1"/>
    <x v="0"/>
    <x v="18"/>
    <x v="5"/>
    <x v="3"/>
    <x v="18"/>
  </r>
  <r>
    <x v="12"/>
    <x v="2"/>
    <x v="17"/>
    <x v="19"/>
    <x v="5"/>
    <x v="0"/>
    <x v="19"/>
    <x v="5"/>
    <x v="3"/>
    <x v="19"/>
  </r>
  <r>
    <x v="13"/>
    <x v="5"/>
    <x v="18"/>
    <x v="20"/>
    <x v="8"/>
    <x v="3"/>
    <x v="20"/>
    <x v="6"/>
    <x v="4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B5" firstHeaderRow="1" firstDataRow="1" firstDataCol="1"/>
  <pivotFields count="10">
    <pivotField axis="axisRow" compact="0" multipleItemSelectionAllowed="1" showAll="0">
      <items count="15">
        <item h="1" x="10"/>
        <item h="1" x="6"/>
        <item h="1" x="12"/>
        <item h="1" x="7"/>
        <item h="1" x="4"/>
        <item h="1" x="9"/>
        <item x="5"/>
        <item h="1" x="3"/>
        <item h="1" x="2"/>
        <item h="1" x="1"/>
        <item h="1" x="0"/>
        <item h="1" x="11"/>
        <item h="1" x="8"/>
        <item h="1" x="13"/>
        <item t="default"/>
      </items>
    </pivotField>
    <pivotField compact="0" showAll="0">
      <items count="7">
        <item x="4"/>
        <item x="1"/>
        <item x="2"/>
        <item x="3"/>
        <item x="0"/>
        <item x="5"/>
        <item t="default"/>
      </items>
    </pivotField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2">
    <i>
      <x v="6"/>
    </i>
    <i t="grand">
      <x/>
    </i>
  </rowItems>
  <colItems count="1">
    <i/>
  </colItems>
  <dataFields count="1">
    <dataField name="Sum of Order Quatity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B9" firstHeaderRow="1" firstDataRow="1" firstDataCol="1"/>
  <pivotFields count="10">
    <pivotField compact="0" showAll="0"/>
    <pivotField axis="axisRow" compact="0" multipleItemSelectionAllowed="1" showAll="0">
      <items count="7">
        <item x="4"/>
        <item x="1"/>
        <item x="2"/>
        <item x="3"/>
        <item x="0"/>
        <item h="1" x="5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B16" firstHeaderRow="1" firstDataRow="1" firstDataCol="1"/>
  <pivotFields count="10"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22">
        <item h="1" x="12"/>
        <item x="4"/>
        <item x="3"/>
        <item x="7"/>
        <item x="6"/>
        <item x="5"/>
        <item x="13"/>
        <item x="0"/>
        <item x="9"/>
        <item x="15"/>
        <item x="11"/>
        <item x="1"/>
        <item x="17"/>
        <item h="1" x="10"/>
        <item h="1" x="14"/>
        <item h="1" x="16"/>
        <item h="1" x="19"/>
        <item h="1" x="18"/>
        <item h="1" x="8"/>
        <item h="1" x="2"/>
        <item h="1" x="20"/>
        <item t="default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C8" firstHeaderRow="1" firstDataRow="1" firstDataCol="2"/>
  <pivotFields count="10"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axis="axisRow" compact="0" showAll="0">
      <items count="8">
        <item x="3"/>
        <item x="2"/>
        <item x="1"/>
        <item x="5"/>
        <item x="0"/>
        <item x="4"/>
        <item x="6"/>
        <item t="default"/>
      </items>
    </pivotField>
    <pivotField compact="0" showAll="0"/>
    <pivotField axis="axisRow" compact="0" multipleItemSelectionAllowed="1" showAll="0">
      <items count="22">
        <item h="1" x="12"/>
        <item h="1" x="4"/>
        <item h="1" x="3"/>
        <item h="1" x="7"/>
        <item h="1" x="6"/>
        <item h="1" x="5"/>
        <item h="1" x="13"/>
        <item h="1" x="0"/>
        <item h="1" x="9"/>
        <item h="1" x="15"/>
        <item h="1" x="11"/>
        <item h="1" x="1"/>
        <item h="1" x="17"/>
        <item h="1" x="10"/>
        <item h="1" x="14"/>
        <item h="1" x="16"/>
        <item h="1" x="19"/>
        <item h="1" x="18"/>
        <item x="8"/>
        <item x="2"/>
        <item h="1" x="20"/>
        <item t="default"/>
      </items>
    </pivotField>
  </pivotFields>
  <rowFields count="2">
    <field x="7"/>
    <field x="9"/>
  </rowFields>
  <rowItems count="5">
    <i>
      <x v="1"/>
    </i>
    <i r="1">
      <x v="19"/>
    </i>
    <i>
      <x v="4"/>
    </i>
    <i r="1">
      <x v="18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B8" firstHeaderRow="1" firstDataRow="1" firstDataCol="1"/>
  <pivotFields count="10"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 sortType="ascending">
      <items count="6">
        <item x="2"/>
        <item x="0"/>
        <item x="3"/>
        <item x="1"/>
        <item h="1" x="4"/>
        <item t="default"/>
      </items>
    </pivotField>
    <pivotField compact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1" topLeftCell="A2" activePane="bottomLeft" state="frozen"/>
      <selection pane="bottomLeft" activeCell="L14" sqref="L14"/>
    </sheetView>
  </sheetViews>
  <sheetFormatPr defaultColWidth="9.140625" defaultRowHeight="15"/>
  <cols>
    <col min="1" max="1" width="23" style="15" customWidth="1"/>
    <col min="2" max="2" width="14.140625" style="15" customWidth="1"/>
    <col min="3" max="3" width="15.42578125" style="15" customWidth="1"/>
    <col min="4" max="4" width="10.5703125" style="15" customWidth="1"/>
    <col min="5" max="5" width="9.28515625" style="15" customWidth="1"/>
    <col min="6" max="6" width="14.7109375" style="15" customWidth="1"/>
    <col min="7" max="7" width="9.5703125" style="15" customWidth="1"/>
    <col min="8" max="8" width="9.140625" style="15" customWidth="1"/>
    <col min="9" max="9" width="19.42578125" style="15" customWidth="1"/>
    <col min="10" max="10" width="11.42578125" style="16" customWidth="1"/>
    <col min="11" max="16384" width="9.140625" style="17"/>
  </cols>
  <sheetData>
    <row r="1" spans="1:10" s="14" customForma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20" t="s">
        <v>9</v>
      </c>
    </row>
    <row r="2" spans="1:10">
      <c r="A2" s="19" t="s">
        <v>10</v>
      </c>
      <c r="B2" s="19" t="s">
        <v>11</v>
      </c>
      <c r="C2" s="19">
        <v>2</v>
      </c>
      <c r="D2" s="19">
        <v>6.93</v>
      </c>
      <c r="E2" s="19">
        <v>0.01</v>
      </c>
      <c r="F2" s="19" t="s">
        <v>12</v>
      </c>
      <c r="G2" s="19">
        <v>-4.6399999999999997</v>
      </c>
      <c r="H2" s="19" t="s">
        <v>13</v>
      </c>
      <c r="I2" s="19" t="s">
        <v>14</v>
      </c>
      <c r="J2" s="21">
        <v>39935</v>
      </c>
    </row>
    <row r="3" spans="1:10">
      <c r="A3" s="19" t="s">
        <v>15</v>
      </c>
      <c r="B3" s="19" t="s">
        <v>16</v>
      </c>
      <c r="C3" s="19">
        <v>3</v>
      </c>
      <c r="D3" s="19">
        <v>461.89</v>
      </c>
      <c r="E3" s="19">
        <v>0.05</v>
      </c>
      <c r="F3" s="19" t="s">
        <v>17</v>
      </c>
      <c r="G3" s="19">
        <v>-309.82</v>
      </c>
      <c r="H3" s="19" t="s">
        <v>18</v>
      </c>
      <c r="I3" s="19" t="s">
        <v>14</v>
      </c>
      <c r="J3" s="21">
        <v>39939</v>
      </c>
    </row>
    <row r="4" spans="1:10">
      <c r="A4" s="19" t="s">
        <v>19</v>
      </c>
      <c r="B4" s="19" t="s">
        <v>20</v>
      </c>
      <c r="C4" s="19">
        <v>4</v>
      </c>
      <c r="D4" s="19">
        <v>32.72</v>
      </c>
      <c r="E4" s="19">
        <v>0.09</v>
      </c>
      <c r="F4" s="19" t="s">
        <v>12</v>
      </c>
      <c r="G4" s="19">
        <v>-22.59</v>
      </c>
      <c r="H4" s="19" t="s">
        <v>21</v>
      </c>
      <c r="I4" s="19" t="s">
        <v>14</v>
      </c>
      <c r="J4" s="21">
        <v>41068</v>
      </c>
    </row>
    <row r="5" spans="1:10">
      <c r="A5" s="19" t="s">
        <v>22</v>
      </c>
      <c r="B5" s="19" t="s">
        <v>20</v>
      </c>
      <c r="C5" s="19">
        <v>6</v>
      </c>
      <c r="D5" s="19">
        <v>261.54000000000002</v>
      </c>
      <c r="E5" s="19">
        <v>0.04</v>
      </c>
      <c r="F5" s="19" t="s">
        <v>12</v>
      </c>
      <c r="G5" s="19">
        <v>-213.25</v>
      </c>
      <c r="H5" s="19" t="s">
        <v>23</v>
      </c>
      <c r="I5" s="19" t="s">
        <v>24</v>
      </c>
      <c r="J5" s="21">
        <v>39928</v>
      </c>
    </row>
    <row r="6" spans="1:10">
      <c r="A6" s="19" t="s">
        <v>25</v>
      </c>
      <c r="B6" s="19" t="s">
        <v>11</v>
      </c>
      <c r="C6" s="19">
        <v>14</v>
      </c>
      <c r="D6" s="19">
        <v>1892.848</v>
      </c>
      <c r="E6" s="19">
        <v>0.01</v>
      </c>
      <c r="F6" s="19" t="s">
        <v>12</v>
      </c>
      <c r="G6" s="19">
        <v>48.99</v>
      </c>
      <c r="H6" s="19" t="s">
        <v>13</v>
      </c>
      <c r="I6" s="19" t="s">
        <v>14</v>
      </c>
      <c r="J6" s="21">
        <v>39926</v>
      </c>
    </row>
    <row r="7" spans="1:10">
      <c r="A7" s="19" t="s">
        <v>26</v>
      </c>
      <c r="B7" s="19" t="s">
        <v>16</v>
      </c>
      <c r="C7" s="19">
        <v>15</v>
      </c>
      <c r="D7" s="19">
        <v>140.56</v>
      </c>
      <c r="E7" s="19">
        <v>0.04</v>
      </c>
      <c r="F7" s="19" t="s">
        <v>12</v>
      </c>
      <c r="G7" s="19">
        <v>-128.38</v>
      </c>
      <c r="H7" s="19" t="s">
        <v>18</v>
      </c>
      <c r="I7" s="19" t="s">
        <v>14</v>
      </c>
      <c r="J7" s="21">
        <v>39932</v>
      </c>
    </row>
    <row r="8" spans="1:10">
      <c r="A8" s="19" t="s">
        <v>26</v>
      </c>
      <c r="B8" s="19" t="s">
        <v>16</v>
      </c>
      <c r="C8" s="19">
        <v>23</v>
      </c>
      <c r="D8" s="19">
        <v>160.23349999999999</v>
      </c>
      <c r="E8" s="19">
        <v>0.04</v>
      </c>
      <c r="F8" s="19" t="s">
        <v>12</v>
      </c>
      <c r="G8" s="19">
        <v>-85.13</v>
      </c>
      <c r="H8" s="19" t="s">
        <v>13</v>
      </c>
      <c r="I8" s="19" t="s">
        <v>14</v>
      </c>
      <c r="J8" s="21">
        <v>39931</v>
      </c>
    </row>
    <row r="9" spans="1:10">
      <c r="A9" s="19" t="s">
        <v>26</v>
      </c>
      <c r="B9" s="19" t="s">
        <v>16</v>
      </c>
      <c r="C9" s="19">
        <v>24</v>
      </c>
      <c r="D9" s="19">
        <v>1761.4</v>
      </c>
      <c r="E9" s="19">
        <v>0.09</v>
      </c>
      <c r="F9" s="19" t="s">
        <v>27</v>
      </c>
      <c r="G9" s="19">
        <v>-1748.56</v>
      </c>
      <c r="H9" s="19" t="s">
        <v>13</v>
      </c>
      <c r="I9" s="19" t="s">
        <v>14</v>
      </c>
      <c r="J9" s="21">
        <v>39930</v>
      </c>
    </row>
    <row r="10" spans="1:10">
      <c r="A10" s="19" t="s">
        <v>26</v>
      </c>
      <c r="B10" s="19" t="s">
        <v>16</v>
      </c>
      <c r="C10" s="19">
        <v>26</v>
      </c>
      <c r="D10" s="19">
        <v>2808.08</v>
      </c>
      <c r="E10" s="19">
        <v>7.0000000000000007E-2</v>
      </c>
      <c r="F10" s="19" t="s">
        <v>12</v>
      </c>
      <c r="G10" s="19">
        <v>1054.82</v>
      </c>
      <c r="H10" s="19" t="s">
        <v>13</v>
      </c>
      <c r="I10" s="19" t="s">
        <v>14</v>
      </c>
      <c r="J10" s="21">
        <v>41025</v>
      </c>
    </row>
    <row r="11" spans="1:10">
      <c r="A11" s="19" t="s">
        <v>28</v>
      </c>
      <c r="B11" s="19" t="s">
        <v>29</v>
      </c>
      <c r="C11" s="19">
        <v>26</v>
      </c>
      <c r="D11" s="19">
        <v>75.569999999999993</v>
      </c>
      <c r="E11" s="19">
        <v>0.03</v>
      </c>
      <c r="F11" s="19" t="s">
        <v>12</v>
      </c>
      <c r="G11" s="19">
        <v>28.24</v>
      </c>
      <c r="H11" s="19" t="s">
        <v>30</v>
      </c>
      <c r="I11" s="19" t="s">
        <v>31</v>
      </c>
      <c r="J11" s="21">
        <v>39936</v>
      </c>
    </row>
    <row r="12" spans="1:10">
      <c r="A12" s="19" t="s">
        <v>32</v>
      </c>
      <c r="B12" s="19" t="s">
        <v>11</v>
      </c>
      <c r="C12" s="19">
        <v>28</v>
      </c>
      <c r="D12" s="19">
        <v>51.53</v>
      </c>
      <c r="E12" s="19">
        <v>0.03</v>
      </c>
      <c r="F12" s="19" t="s">
        <v>17</v>
      </c>
      <c r="G12" s="19">
        <v>0.35</v>
      </c>
      <c r="H12" s="19" t="s">
        <v>18</v>
      </c>
      <c r="I12" s="19" t="s">
        <v>14</v>
      </c>
      <c r="J12" s="21">
        <v>40307</v>
      </c>
    </row>
    <row r="13" spans="1:10">
      <c r="A13" s="19" t="s">
        <v>15</v>
      </c>
      <c r="B13" s="19" t="s">
        <v>16</v>
      </c>
      <c r="C13" s="19">
        <v>29</v>
      </c>
      <c r="D13" s="19">
        <v>575.11</v>
      </c>
      <c r="E13" s="19">
        <v>0.02</v>
      </c>
      <c r="F13" s="19" t="s">
        <v>12</v>
      </c>
      <c r="G13" s="19">
        <v>71.75</v>
      </c>
      <c r="H13" s="19" t="s">
        <v>18</v>
      </c>
      <c r="I13" s="19" t="s">
        <v>14</v>
      </c>
      <c r="J13" s="21">
        <v>39938</v>
      </c>
    </row>
    <row r="14" spans="1:10">
      <c r="A14" s="19" t="s">
        <v>25</v>
      </c>
      <c r="B14" s="19" t="s">
        <v>11</v>
      </c>
      <c r="C14" s="19">
        <v>30</v>
      </c>
      <c r="D14" s="19">
        <v>288.56</v>
      </c>
      <c r="E14" s="19">
        <v>0.03</v>
      </c>
      <c r="F14" s="19" t="s">
        <v>12</v>
      </c>
      <c r="G14" s="19">
        <v>60.72</v>
      </c>
      <c r="H14" s="19" t="s">
        <v>13</v>
      </c>
      <c r="I14" s="19" t="s">
        <v>14</v>
      </c>
      <c r="J14" s="21">
        <v>39562</v>
      </c>
    </row>
    <row r="15" spans="1:10">
      <c r="A15" s="19" t="s">
        <v>33</v>
      </c>
      <c r="B15" s="19" t="s">
        <v>34</v>
      </c>
      <c r="C15" s="19">
        <v>32</v>
      </c>
      <c r="D15" s="19">
        <v>3812.73</v>
      </c>
      <c r="E15" s="19">
        <v>0.02</v>
      </c>
      <c r="F15" s="19" t="s">
        <v>12</v>
      </c>
      <c r="G15" s="19">
        <v>1470.3</v>
      </c>
      <c r="H15" s="19" t="s">
        <v>21</v>
      </c>
      <c r="I15" s="19" t="s">
        <v>14</v>
      </c>
      <c r="J15" s="21">
        <v>39934</v>
      </c>
    </row>
    <row r="16" spans="1:10">
      <c r="A16" s="19" t="s">
        <v>35</v>
      </c>
      <c r="B16" s="19" t="s">
        <v>16</v>
      </c>
      <c r="C16" s="19">
        <v>37</v>
      </c>
      <c r="D16" s="19">
        <v>4158.1234999999997</v>
      </c>
      <c r="E16" s="19">
        <v>0.01</v>
      </c>
      <c r="F16" s="19" t="s">
        <v>12</v>
      </c>
      <c r="G16" s="19">
        <v>1228.8900000000001</v>
      </c>
      <c r="H16" s="19" t="s">
        <v>18</v>
      </c>
      <c r="I16" s="19" t="s">
        <v>36</v>
      </c>
      <c r="J16" s="21">
        <v>40663</v>
      </c>
    </row>
    <row r="17" spans="1:10">
      <c r="A17" s="19" t="s">
        <v>37</v>
      </c>
      <c r="B17" s="19" t="s">
        <v>20</v>
      </c>
      <c r="C17" s="19">
        <v>41</v>
      </c>
      <c r="D17" s="19">
        <v>108.15</v>
      </c>
      <c r="E17" s="19">
        <v>0.09</v>
      </c>
      <c r="F17" s="19" t="s">
        <v>12</v>
      </c>
      <c r="G17" s="19">
        <v>7.57</v>
      </c>
      <c r="H17" s="19" t="s">
        <v>13</v>
      </c>
      <c r="I17" s="19" t="s">
        <v>31</v>
      </c>
      <c r="J17" s="21">
        <v>39937</v>
      </c>
    </row>
    <row r="18" spans="1:10">
      <c r="A18" s="19" t="s">
        <v>32</v>
      </c>
      <c r="B18" s="19" t="s">
        <v>11</v>
      </c>
      <c r="C18" s="19">
        <v>42</v>
      </c>
      <c r="D18" s="19">
        <v>1186.06</v>
      </c>
      <c r="E18" s="19">
        <v>0.09</v>
      </c>
      <c r="F18" s="19" t="s">
        <v>12</v>
      </c>
      <c r="G18" s="19">
        <v>511.69</v>
      </c>
      <c r="H18" s="19" t="s">
        <v>18</v>
      </c>
      <c r="I18" s="19" t="s">
        <v>14</v>
      </c>
      <c r="J18" s="21">
        <v>40671</v>
      </c>
    </row>
    <row r="19" spans="1:10">
      <c r="A19" s="19" t="s">
        <v>38</v>
      </c>
      <c r="B19" s="19" t="s">
        <v>34</v>
      </c>
      <c r="C19" s="19">
        <v>46</v>
      </c>
      <c r="D19" s="19">
        <v>2484.7455</v>
      </c>
      <c r="E19" s="19">
        <v>0.1</v>
      </c>
      <c r="F19" s="19" t="s">
        <v>12</v>
      </c>
      <c r="G19" s="19">
        <v>657.48</v>
      </c>
      <c r="H19" s="19" t="s">
        <v>13</v>
      </c>
      <c r="I19" s="19" t="s">
        <v>36</v>
      </c>
      <c r="J19" s="21">
        <v>39940</v>
      </c>
    </row>
    <row r="20" spans="1:10">
      <c r="A20" s="19" t="s">
        <v>39</v>
      </c>
      <c r="B20" s="19" t="s">
        <v>20</v>
      </c>
      <c r="C20" s="19">
        <v>46</v>
      </c>
      <c r="D20" s="19">
        <v>7804.53</v>
      </c>
      <c r="E20" s="19">
        <v>0.05</v>
      </c>
      <c r="F20" s="19" t="s">
        <v>12</v>
      </c>
      <c r="G20" s="19">
        <v>2057.17</v>
      </c>
      <c r="H20" s="19" t="s">
        <v>40</v>
      </c>
      <c r="I20" s="19" t="s">
        <v>36</v>
      </c>
      <c r="J20" s="21">
        <v>40887</v>
      </c>
    </row>
    <row r="21" spans="1:10">
      <c r="A21" s="19" t="s">
        <v>39</v>
      </c>
      <c r="B21" s="19" t="s">
        <v>20</v>
      </c>
      <c r="C21" s="19">
        <v>48</v>
      </c>
      <c r="D21" s="19">
        <v>90.05</v>
      </c>
      <c r="E21" s="19">
        <v>0.03</v>
      </c>
      <c r="F21" s="19" t="s">
        <v>12</v>
      </c>
      <c r="G21" s="19">
        <v>-107</v>
      </c>
      <c r="H21" s="19" t="s">
        <v>40</v>
      </c>
      <c r="I21" s="19" t="s">
        <v>36</v>
      </c>
      <c r="J21" s="21">
        <v>40828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A3" sqref="A3"/>
    </sheetView>
  </sheetViews>
  <sheetFormatPr defaultColWidth="9.140625" defaultRowHeight="15"/>
  <cols>
    <col min="1" max="1" width="14.7109375" customWidth="1"/>
    <col min="2" max="2" width="5.85546875" hidden="1" customWidth="1"/>
    <col min="3" max="3" width="4.5703125" style="13" customWidth="1"/>
    <col min="4" max="4" width="5.7109375" style="13" customWidth="1"/>
    <col min="5" max="5" width="4.42578125" style="13" customWidth="1"/>
    <col min="6" max="6" width="6.7109375" style="13" customWidth="1"/>
    <col min="7" max="7" width="11" style="13" customWidth="1"/>
    <col min="8" max="9" width="9.85546875" style="13" customWidth="1"/>
  </cols>
  <sheetData>
    <row r="1" spans="1:9">
      <c r="A1" t="str">
        <f>VLOOKUP(Sheet1!A5,Sheet1!A:I,9,FALSE)</f>
        <v>Small Business</v>
      </c>
      <c r="C1" s="22" t="s">
        <v>41</v>
      </c>
      <c r="D1" s="23"/>
      <c r="E1" s="23"/>
      <c r="F1" s="23"/>
      <c r="G1" s="23"/>
      <c r="H1" s="23"/>
      <c r="I1" s="24"/>
    </row>
    <row r="2" spans="1:9">
      <c r="A2" cm="1">
        <f t="array" ref="A2">INDEX(Sheet1!D:D,MATCH(39940,Sheet1!J:J,0))</f>
        <v>2484.7455</v>
      </c>
      <c r="C2" s="25"/>
      <c r="D2" s="26"/>
      <c r="E2" s="26"/>
      <c r="F2" s="26"/>
      <c r="G2" s="26"/>
      <c r="H2" s="26"/>
      <c r="I2" s="27"/>
    </row>
    <row r="3" spans="1:9">
      <c r="A3" t="str">
        <f>_xlfn.XLOOKUP(4158.1235,Sheet1!D:D,Sheet1!A:A)</f>
        <v>Keith Dawkins</v>
      </c>
      <c r="C3" s="25"/>
      <c r="D3" s="26"/>
      <c r="E3" s="26"/>
      <c r="F3" s="26"/>
      <c r="G3" s="26"/>
      <c r="H3" s="26"/>
      <c r="I3" s="27"/>
    </row>
    <row r="4" spans="1:9">
      <c r="A4" t="str">
        <f>_xlfn.XLOOKUP("Yukon",Sheet1!H:H,Sheet1!A:A)</f>
        <v>Craig Yedwab</v>
      </c>
      <c r="C4" s="25"/>
      <c r="D4" s="26"/>
      <c r="E4" s="26"/>
      <c r="F4" s="26"/>
      <c r="G4" s="26"/>
      <c r="H4" s="26"/>
      <c r="I4" s="27"/>
    </row>
    <row r="5" spans="1:9">
      <c r="C5" s="25"/>
      <c r="D5" s="26"/>
      <c r="E5" s="26"/>
      <c r="F5" s="26"/>
      <c r="G5" s="26"/>
      <c r="H5" s="26"/>
      <c r="I5" s="27"/>
    </row>
    <row r="6" spans="1:9">
      <c r="C6" s="25"/>
      <c r="D6" s="26"/>
      <c r="E6" s="26"/>
      <c r="F6" s="26"/>
      <c r="G6" s="26"/>
      <c r="H6" s="26"/>
      <c r="I6" s="27"/>
    </row>
    <row r="7" spans="1:9">
      <c r="C7" s="25"/>
      <c r="D7" s="26"/>
      <c r="E7" s="26"/>
      <c r="F7" s="26"/>
      <c r="G7" s="26"/>
      <c r="H7" s="26"/>
      <c r="I7" s="27"/>
    </row>
    <row r="8" spans="1:9">
      <c r="C8" s="25"/>
      <c r="D8" s="26"/>
      <c r="E8" s="26"/>
      <c r="F8" s="26"/>
      <c r="G8" s="26"/>
      <c r="H8" s="26"/>
      <c r="I8" s="27"/>
    </row>
    <row r="9" spans="1:9">
      <c r="C9" s="25"/>
      <c r="D9" s="26"/>
      <c r="E9" s="26"/>
      <c r="F9" s="26"/>
      <c r="G9" s="26"/>
      <c r="H9" s="26"/>
      <c r="I9" s="27"/>
    </row>
    <row r="10" spans="1:9">
      <c r="C10" s="25"/>
      <c r="D10" s="26"/>
      <c r="E10" s="26"/>
      <c r="F10" s="26"/>
      <c r="G10" s="26"/>
      <c r="H10" s="26"/>
      <c r="I10" s="27"/>
    </row>
    <row r="11" spans="1:9">
      <c r="C11" s="25"/>
      <c r="D11" s="26"/>
      <c r="E11" s="26"/>
      <c r="F11" s="26"/>
      <c r="G11" s="26"/>
      <c r="H11" s="26"/>
      <c r="I11" s="27"/>
    </row>
    <row r="12" spans="1:9">
      <c r="C12" s="25"/>
      <c r="D12" s="26"/>
      <c r="E12" s="26"/>
      <c r="F12" s="26"/>
      <c r="G12" s="26"/>
      <c r="H12" s="26"/>
      <c r="I12" s="27"/>
    </row>
    <row r="13" spans="1:9">
      <c r="C13" s="25"/>
      <c r="D13" s="26"/>
      <c r="E13" s="26"/>
      <c r="F13" s="26"/>
      <c r="G13" s="26"/>
      <c r="H13" s="26"/>
      <c r="I13" s="27"/>
    </row>
    <row r="14" spans="1:9">
      <c r="C14" s="25"/>
      <c r="D14" s="26"/>
      <c r="E14" s="26"/>
      <c r="F14" s="26"/>
      <c r="G14" s="26"/>
      <c r="H14" s="26"/>
      <c r="I14" s="27"/>
    </row>
    <row r="15" spans="1:9">
      <c r="C15" s="25"/>
      <c r="D15" s="26"/>
      <c r="E15" s="26"/>
      <c r="F15" s="26"/>
      <c r="G15" s="26"/>
      <c r="H15" s="26"/>
      <c r="I15" s="27"/>
    </row>
    <row r="16" spans="1:9">
      <c r="C16" s="25"/>
      <c r="D16" s="26"/>
      <c r="E16" s="26"/>
      <c r="F16" s="26"/>
      <c r="G16" s="26"/>
      <c r="H16" s="26"/>
      <c r="I16" s="27"/>
    </row>
    <row r="17" spans="3:9">
      <c r="C17" s="25"/>
      <c r="D17" s="26"/>
      <c r="E17" s="26"/>
      <c r="F17" s="26"/>
      <c r="G17" s="26"/>
      <c r="H17" s="26"/>
      <c r="I17" s="27"/>
    </row>
    <row r="18" spans="3:9">
      <c r="C18" s="25"/>
      <c r="D18" s="26"/>
      <c r="E18" s="26"/>
      <c r="F18" s="26"/>
      <c r="G18" s="26"/>
      <c r="H18" s="26"/>
      <c r="I18" s="27"/>
    </row>
    <row r="19" spans="3:9">
      <c r="C19" s="28"/>
      <c r="D19" s="29"/>
      <c r="E19" s="29"/>
      <c r="F19" s="29"/>
      <c r="G19" s="29"/>
      <c r="H19" s="29"/>
      <c r="I19" s="30"/>
    </row>
  </sheetData>
  <mergeCells count="1">
    <mergeCell ref="C1:I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5"/>
  <sheetViews>
    <sheetView topLeftCell="B1" workbookViewId="0">
      <selection activeCell="C1" sqref="C1"/>
    </sheetView>
  </sheetViews>
  <sheetFormatPr defaultColWidth="9.140625" defaultRowHeight="15"/>
  <cols>
    <col min="1" max="1" width="18.5703125"/>
    <col min="2" max="2" width="21.5703125"/>
    <col min="3" max="3" width="25.5703125"/>
    <col min="11" max="15" width="9.140625" style="12"/>
  </cols>
  <sheetData>
    <row r="3" spans="1:2">
      <c r="A3" t="s">
        <v>0</v>
      </c>
      <c r="B3" t="s">
        <v>42</v>
      </c>
    </row>
    <row r="4" spans="1:2">
      <c r="A4" t="s">
        <v>26</v>
      </c>
      <c r="B4">
        <v>88</v>
      </c>
    </row>
    <row r="5" spans="1:2">
      <c r="A5" t="s">
        <v>43</v>
      </c>
      <c r="B5">
        <v>88</v>
      </c>
    </row>
  </sheetData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topLeftCell="B1" workbookViewId="0">
      <selection activeCell="P9" sqref="P9"/>
    </sheetView>
  </sheetViews>
  <sheetFormatPr defaultColWidth="9.140625" defaultRowHeight="15"/>
  <cols>
    <col min="1" max="1" width="16.140625"/>
    <col min="2" max="2" width="13"/>
  </cols>
  <sheetData>
    <row r="3" spans="1:2">
      <c r="A3" t="s">
        <v>1</v>
      </c>
      <c r="B3" t="s">
        <v>44</v>
      </c>
    </row>
    <row r="4" spans="1:2">
      <c r="A4" t="s">
        <v>34</v>
      </c>
      <c r="B4">
        <v>6297.4754999999996</v>
      </c>
    </row>
    <row r="5" spans="1:2">
      <c r="A5" t="s">
        <v>16</v>
      </c>
      <c r="B5">
        <v>10065.397000000001</v>
      </c>
    </row>
    <row r="6" spans="1:2">
      <c r="A6" t="s">
        <v>20</v>
      </c>
      <c r="B6">
        <v>8296.99</v>
      </c>
    </row>
    <row r="7" spans="1:2">
      <c r="A7" t="s">
        <v>29</v>
      </c>
      <c r="B7">
        <v>75.569999999999993</v>
      </c>
    </row>
    <row r="8" spans="1:2">
      <c r="A8" t="s">
        <v>11</v>
      </c>
      <c r="B8">
        <v>3425.9279999999999</v>
      </c>
    </row>
    <row r="9" spans="1:2">
      <c r="A9" t="s">
        <v>43</v>
      </c>
      <c r="B9">
        <v>28161.360499999999</v>
      </c>
    </row>
  </sheetData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M8" sqref="M8"/>
    </sheetView>
  </sheetViews>
  <sheetFormatPr defaultColWidth="9.140625" defaultRowHeight="15"/>
  <cols>
    <col min="1" max="1" width="12.140625"/>
    <col min="2" max="2" width="13"/>
  </cols>
  <sheetData>
    <row r="3" spans="1:2">
      <c r="A3" t="s">
        <v>9</v>
      </c>
      <c r="B3" t="s">
        <v>44</v>
      </c>
    </row>
    <row r="4" spans="1:2">
      <c r="A4" s="11">
        <v>39926</v>
      </c>
      <c r="B4">
        <v>1892.848</v>
      </c>
    </row>
    <row r="5" spans="1:2">
      <c r="A5" s="11">
        <v>39928</v>
      </c>
      <c r="B5">
        <v>261.54000000000002</v>
      </c>
    </row>
    <row r="6" spans="1:2">
      <c r="A6" s="11">
        <v>39930</v>
      </c>
      <c r="B6">
        <v>1761.4</v>
      </c>
    </row>
    <row r="7" spans="1:2">
      <c r="A7" s="11">
        <v>39931</v>
      </c>
      <c r="B7">
        <v>160.23349999999999</v>
      </c>
    </row>
    <row r="8" spans="1:2">
      <c r="A8" s="11">
        <v>39932</v>
      </c>
      <c r="B8">
        <v>140.56</v>
      </c>
    </row>
    <row r="9" spans="1:2">
      <c r="A9" s="11">
        <v>39934</v>
      </c>
      <c r="B9">
        <v>3812.73</v>
      </c>
    </row>
    <row r="10" spans="1:2">
      <c r="A10" s="11">
        <v>39935</v>
      </c>
      <c r="B10">
        <v>6.93</v>
      </c>
    </row>
    <row r="11" spans="1:2">
      <c r="A11" s="11">
        <v>39936</v>
      </c>
      <c r="B11">
        <v>75.569999999999993</v>
      </c>
    </row>
    <row r="12" spans="1:2">
      <c r="A12" s="11">
        <v>39937</v>
      </c>
      <c r="B12">
        <v>108.15</v>
      </c>
    </row>
    <row r="13" spans="1:2">
      <c r="A13" s="11">
        <v>39938</v>
      </c>
      <c r="B13">
        <v>575.11</v>
      </c>
    </row>
    <row r="14" spans="1:2">
      <c r="A14" s="11">
        <v>39939</v>
      </c>
      <c r="B14">
        <v>461.89</v>
      </c>
    </row>
    <row r="15" spans="1:2">
      <c r="A15" s="11">
        <v>39940</v>
      </c>
      <c r="B15">
        <v>2484.7455</v>
      </c>
    </row>
    <row r="16" spans="1:2">
      <c r="A16" t="s">
        <v>43</v>
      </c>
      <c r="B16">
        <v>11741.707</v>
      </c>
    </row>
  </sheetData>
  <pageMargins left="0.75" right="0.75" top="1" bottom="1" header="0.5" footer="0.5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>
      <selection activeCell="A18" sqref="A18"/>
    </sheetView>
  </sheetViews>
  <sheetFormatPr defaultColWidth="9.140625" defaultRowHeight="15"/>
  <cols>
    <col min="1" max="1" width="12.140625"/>
    <col min="2" max="2" width="10.28515625"/>
    <col min="3" max="3" width="13.5703125"/>
  </cols>
  <sheetData>
    <row r="3" spans="1:3">
      <c r="A3" t="s">
        <v>7</v>
      </c>
      <c r="B3" t="s">
        <v>9</v>
      </c>
      <c r="C3" t="s">
        <v>45</v>
      </c>
    </row>
    <row r="4" spans="1:3">
      <c r="A4" t="s">
        <v>21</v>
      </c>
      <c r="C4">
        <v>-22.59</v>
      </c>
    </row>
    <row r="5" spans="1:3">
      <c r="B5" s="11">
        <v>41068</v>
      </c>
      <c r="C5">
        <v>-22.59</v>
      </c>
    </row>
    <row r="6" spans="1:3">
      <c r="A6" t="s">
        <v>13</v>
      </c>
      <c r="C6">
        <v>1054.82</v>
      </c>
    </row>
    <row r="7" spans="1:3">
      <c r="B7" s="11">
        <v>41025</v>
      </c>
      <c r="C7">
        <v>1054.82</v>
      </c>
    </row>
    <row r="8" spans="1:3">
      <c r="A8" t="s">
        <v>43</v>
      </c>
      <c r="C8">
        <v>1032.23</v>
      </c>
    </row>
  </sheetData>
  <pageMargins left="0.75" right="0.75" top="1" bottom="1" header="0.5" footer="0.5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opLeftCell="E1" workbookViewId="0">
      <selection activeCell="T8" sqref="T8"/>
    </sheetView>
  </sheetViews>
  <sheetFormatPr defaultColWidth="9.140625" defaultRowHeight="15"/>
  <cols>
    <col min="1" max="1" width="21.42578125"/>
    <col min="2" max="2" width="13"/>
  </cols>
  <sheetData>
    <row r="3" spans="1:2">
      <c r="A3" t="s">
        <v>8</v>
      </c>
      <c r="B3" t="s">
        <v>44</v>
      </c>
    </row>
    <row r="4" spans="1:2">
      <c r="A4" t="s">
        <v>31</v>
      </c>
      <c r="B4">
        <v>183.72</v>
      </c>
    </row>
    <row r="5" spans="1:2">
      <c r="A5" t="s">
        <v>14</v>
      </c>
      <c r="B5">
        <v>13178.6515</v>
      </c>
    </row>
    <row r="6" spans="1:2">
      <c r="A6" t="s">
        <v>36</v>
      </c>
      <c r="B6">
        <v>14537.449000000001</v>
      </c>
    </row>
    <row r="7" spans="1:2">
      <c r="A7" t="s">
        <v>24</v>
      </c>
      <c r="B7">
        <v>261.54000000000002</v>
      </c>
    </row>
    <row r="8" spans="1:2">
      <c r="A8" t="s">
        <v>43</v>
      </c>
      <c r="B8">
        <v>28161.360499999999</v>
      </c>
    </row>
  </sheetData>
  <pageMargins left="0.75" right="0.75" top="1" bottom="1" header="0.5" footer="0.5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1" topLeftCell="A2" activePane="bottomLeft" state="frozen"/>
      <selection pane="bottomLeft" activeCell="L9" sqref="L9"/>
    </sheetView>
  </sheetViews>
  <sheetFormatPr defaultColWidth="9.28515625" defaultRowHeight="15"/>
  <cols>
    <col min="1" max="1" width="23" style="2" customWidth="1"/>
    <col min="2" max="3" width="14.140625" style="2" customWidth="1"/>
    <col min="4" max="4" width="10.5703125" style="2" customWidth="1"/>
    <col min="5" max="5" width="9.28515625" style="2" customWidth="1"/>
    <col min="6" max="6" width="14.7109375" style="2" customWidth="1"/>
    <col min="7" max="7" width="9.5703125" style="2" customWidth="1"/>
    <col min="8" max="8" width="9.140625" style="2" customWidth="1"/>
    <col min="9" max="9" width="19.42578125" style="2" customWidth="1"/>
    <col min="10" max="10" width="11.42578125" style="3" customWidth="1"/>
    <col min="11" max="11" width="9.28515625" style="4" customWidth="1"/>
    <col min="12" max="16384" width="9.28515625" style="4"/>
  </cols>
  <sheetData>
    <row r="1" spans="1:10" s="1" customFormat="1">
      <c r="A1" s="5" t="s">
        <v>0</v>
      </c>
      <c r="B1" s="5" t="s">
        <v>1</v>
      </c>
      <c r="C1" s="5" t="s">
        <v>46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8" t="s">
        <v>9</v>
      </c>
    </row>
    <row r="2" spans="1:10">
      <c r="A2" s="6" t="s">
        <v>10</v>
      </c>
      <c r="B2" s="6" t="s">
        <v>11</v>
      </c>
      <c r="C2" s="6">
        <v>2</v>
      </c>
      <c r="D2" s="6">
        <v>6.93</v>
      </c>
      <c r="E2" s="6">
        <v>0.01</v>
      </c>
      <c r="F2" s="6" t="s">
        <v>12</v>
      </c>
      <c r="G2" s="6">
        <v>-4.6399999999999997</v>
      </c>
      <c r="H2" s="6" t="s">
        <v>13</v>
      </c>
      <c r="I2" s="6" t="s">
        <v>14</v>
      </c>
      <c r="J2" s="9">
        <v>39935</v>
      </c>
    </row>
    <row r="3" spans="1:10">
      <c r="A3" s="7" t="s">
        <v>15</v>
      </c>
      <c r="B3" s="7" t="s">
        <v>16</v>
      </c>
      <c r="C3" s="7">
        <v>3</v>
      </c>
      <c r="D3" s="7">
        <v>461.89</v>
      </c>
      <c r="E3" s="7">
        <v>0.05</v>
      </c>
      <c r="F3" s="7" t="s">
        <v>17</v>
      </c>
      <c r="G3" s="7">
        <v>-309.82</v>
      </c>
      <c r="H3" s="7" t="s">
        <v>18</v>
      </c>
      <c r="I3" s="7" t="s">
        <v>14</v>
      </c>
      <c r="J3" s="10">
        <v>39939</v>
      </c>
    </row>
    <row r="4" spans="1:10">
      <c r="A4" s="6" t="s">
        <v>19</v>
      </c>
      <c r="B4" s="6" t="s">
        <v>20</v>
      </c>
      <c r="C4" s="6">
        <v>4</v>
      </c>
      <c r="D4" s="6">
        <v>32.72</v>
      </c>
      <c r="E4" s="6">
        <v>0.09</v>
      </c>
      <c r="F4" s="6" t="s">
        <v>12</v>
      </c>
      <c r="G4" s="6">
        <v>-22.59</v>
      </c>
      <c r="H4" s="6" t="s">
        <v>21</v>
      </c>
      <c r="I4" s="6" t="s">
        <v>14</v>
      </c>
      <c r="J4" s="9">
        <v>41068</v>
      </c>
    </row>
    <row r="5" spans="1:10">
      <c r="A5" s="7" t="s">
        <v>22</v>
      </c>
      <c r="B5" s="7" t="s">
        <v>20</v>
      </c>
      <c r="C5" s="7">
        <v>6</v>
      </c>
      <c r="D5" s="7">
        <v>261.54000000000002</v>
      </c>
      <c r="E5" s="7">
        <v>0.04</v>
      </c>
      <c r="F5" s="7" t="s">
        <v>12</v>
      </c>
      <c r="G5" s="7">
        <v>-213.25</v>
      </c>
      <c r="H5" s="7" t="s">
        <v>23</v>
      </c>
      <c r="I5" s="7" t="s">
        <v>24</v>
      </c>
      <c r="J5" s="10">
        <v>39928</v>
      </c>
    </row>
    <row r="6" spans="1:10">
      <c r="A6" s="6" t="s">
        <v>25</v>
      </c>
      <c r="B6" s="6" t="s">
        <v>11</v>
      </c>
      <c r="C6" s="6">
        <v>14</v>
      </c>
      <c r="D6" s="6">
        <v>1892.848</v>
      </c>
      <c r="E6" s="6">
        <v>0.01</v>
      </c>
      <c r="F6" s="6" t="s">
        <v>12</v>
      </c>
      <c r="G6" s="6">
        <v>48.99</v>
      </c>
      <c r="H6" s="6" t="s">
        <v>13</v>
      </c>
      <c r="I6" s="6" t="s">
        <v>14</v>
      </c>
      <c r="J6" s="9">
        <v>39926</v>
      </c>
    </row>
    <row r="7" spans="1:10">
      <c r="A7" s="7" t="s">
        <v>26</v>
      </c>
      <c r="B7" s="7" t="s">
        <v>16</v>
      </c>
      <c r="C7" s="7">
        <v>15</v>
      </c>
      <c r="D7" s="7">
        <v>140.56</v>
      </c>
      <c r="E7" s="7">
        <v>0.04</v>
      </c>
      <c r="F7" s="7" t="s">
        <v>12</v>
      </c>
      <c r="G7" s="7">
        <v>-128.38</v>
      </c>
      <c r="H7" s="7" t="s">
        <v>18</v>
      </c>
      <c r="I7" s="7" t="s">
        <v>14</v>
      </c>
      <c r="J7" s="10">
        <v>39932</v>
      </c>
    </row>
    <row r="8" spans="1:10">
      <c r="A8" s="6" t="s">
        <v>26</v>
      </c>
      <c r="B8" s="6" t="s">
        <v>16</v>
      </c>
      <c r="C8" s="6">
        <v>23</v>
      </c>
      <c r="D8" s="6">
        <v>160.23349999999999</v>
      </c>
      <c r="E8" s="6">
        <v>0.04</v>
      </c>
      <c r="F8" s="6" t="s">
        <v>12</v>
      </c>
      <c r="G8" s="6">
        <v>-85.13</v>
      </c>
      <c r="H8" s="6" t="s">
        <v>13</v>
      </c>
      <c r="I8" s="6" t="s">
        <v>14</v>
      </c>
      <c r="J8" s="9">
        <v>39931</v>
      </c>
    </row>
    <row r="9" spans="1:10">
      <c r="A9" s="7" t="s">
        <v>26</v>
      </c>
      <c r="B9" s="7" t="s">
        <v>16</v>
      </c>
      <c r="C9" s="7">
        <v>24</v>
      </c>
      <c r="D9" s="7">
        <v>1761.4</v>
      </c>
      <c r="E9" s="7">
        <v>0.09</v>
      </c>
      <c r="F9" s="7" t="s">
        <v>27</v>
      </c>
      <c r="G9" s="7">
        <v>-1748.56</v>
      </c>
      <c r="H9" s="7" t="s">
        <v>13</v>
      </c>
      <c r="I9" s="7" t="s">
        <v>14</v>
      </c>
      <c r="J9" s="10">
        <v>39930</v>
      </c>
    </row>
    <row r="10" spans="1:10">
      <c r="A10" s="6" t="s">
        <v>26</v>
      </c>
      <c r="B10" s="6" t="s">
        <v>16</v>
      </c>
      <c r="C10" s="6">
        <v>26</v>
      </c>
      <c r="D10" s="6">
        <v>2808.08</v>
      </c>
      <c r="E10" s="6">
        <v>7.0000000000000007E-2</v>
      </c>
      <c r="F10" s="6" t="s">
        <v>12</v>
      </c>
      <c r="G10" s="6">
        <v>1054.82</v>
      </c>
      <c r="H10" s="6" t="s">
        <v>13</v>
      </c>
      <c r="I10" s="6" t="s">
        <v>14</v>
      </c>
      <c r="J10" s="9">
        <v>41025</v>
      </c>
    </row>
    <row r="11" spans="1:10">
      <c r="A11" s="7" t="s">
        <v>28</v>
      </c>
      <c r="B11" s="7" t="s">
        <v>29</v>
      </c>
      <c r="C11" s="7">
        <v>26</v>
      </c>
      <c r="D11" s="7">
        <v>75.569999999999993</v>
      </c>
      <c r="E11" s="7">
        <v>0.03</v>
      </c>
      <c r="F11" s="7" t="s">
        <v>12</v>
      </c>
      <c r="G11" s="7">
        <v>28.24</v>
      </c>
      <c r="H11" s="7" t="s">
        <v>30</v>
      </c>
      <c r="I11" s="7" t="s">
        <v>31</v>
      </c>
      <c r="J11" s="10">
        <v>39936</v>
      </c>
    </row>
    <row r="12" spans="1:10">
      <c r="A12" s="6" t="s">
        <v>32</v>
      </c>
      <c r="B12" s="6" t="s">
        <v>11</v>
      </c>
      <c r="C12" s="6">
        <v>28</v>
      </c>
      <c r="D12" s="6">
        <v>51.53</v>
      </c>
      <c r="E12" s="6">
        <v>0.03</v>
      </c>
      <c r="F12" s="6" t="s">
        <v>17</v>
      </c>
      <c r="G12" s="6">
        <v>0.35</v>
      </c>
      <c r="H12" s="6" t="s">
        <v>18</v>
      </c>
      <c r="I12" s="6" t="s">
        <v>14</v>
      </c>
      <c r="J12" s="9">
        <v>40307</v>
      </c>
    </row>
    <row r="13" spans="1:10">
      <c r="A13" s="7" t="s">
        <v>15</v>
      </c>
      <c r="B13" s="7" t="s">
        <v>16</v>
      </c>
      <c r="C13" s="7">
        <v>29</v>
      </c>
      <c r="D13" s="7">
        <v>575.11</v>
      </c>
      <c r="E13" s="7">
        <v>0.02</v>
      </c>
      <c r="F13" s="7" t="s">
        <v>12</v>
      </c>
      <c r="G13" s="7">
        <v>71.75</v>
      </c>
      <c r="H13" s="7" t="s">
        <v>18</v>
      </c>
      <c r="I13" s="7" t="s">
        <v>14</v>
      </c>
      <c r="J13" s="10">
        <v>39938</v>
      </c>
    </row>
    <row r="14" spans="1:10">
      <c r="A14" s="6" t="s">
        <v>25</v>
      </c>
      <c r="B14" s="6" t="s">
        <v>11</v>
      </c>
      <c r="C14" s="6">
        <v>30</v>
      </c>
      <c r="D14" s="6">
        <v>288.56</v>
      </c>
      <c r="E14" s="6">
        <v>0.03</v>
      </c>
      <c r="F14" s="6" t="s">
        <v>12</v>
      </c>
      <c r="G14" s="6">
        <v>60.72</v>
      </c>
      <c r="H14" s="6" t="s">
        <v>13</v>
      </c>
      <c r="I14" s="6" t="s">
        <v>14</v>
      </c>
      <c r="J14" s="9">
        <v>39562</v>
      </c>
    </row>
    <row r="15" spans="1:10">
      <c r="A15" s="7" t="s">
        <v>33</v>
      </c>
      <c r="B15" s="7" t="s">
        <v>34</v>
      </c>
      <c r="C15" s="7">
        <v>32</v>
      </c>
      <c r="D15" s="7">
        <v>3812.73</v>
      </c>
      <c r="E15" s="7">
        <v>0.02</v>
      </c>
      <c r="F15" s="7" t="s">
        <v>12</v>
      </c>
      <c r="G15" s="7">
        <v>1470.3</v>
      </c>
      <c r="H15" s="7" t="s">
        <v>21</v>
      </c>
      <c r="I15" s="7" t="s">
        <v>14</v>
      </c>
      <c r="J15" s="10">
        <v>39934</v>
      </c>
    </row>
    <row r="16" spans="1:10">
      <c r="A16" s="6" t="s">
        <v>35</v>
      </c>
      <c r="B16" s="6" t="s">
        <v>16</v>
      </c>
      <c r="C16" s="6">
        <v>37</v>
      </c>
      <c r="D16" s="6">
        <v>4158.1234999999997</v>
      </c>
      <c r="E16" s="6">
        <v>0.01</v>
      </c>
      <c r="F16" s="6" t="s">
        <v>12</v>
      </c>
      <c r="G16" s="6">
        <v>1228.8900000000001</v>
      </c>
      <c r="H16" s="6" t="s">
        <v>18</v>
      </c>
      <c r="I16" s="6" t="s">
        <v>36</v>
      </c>
      <c r="J16" s="9">
        <v>40663</v>
      </c>
    </row>
    <row r="17" spans="1:10">
      <c r="A17" s="7" t="s">
        <v>37</v>
      </c>
      <c r="B17" s="7" t="s">
        <v>20</v>
      </c>
      <c r="C17" s="7">
        <v>41</v>
      </c>
      <c r="D17" s="7">
        <v>108.15</v>
      </c>
      <c r="E17" s="7">
        <v>0.09</v>
      </c>
      <c r="F17" s="7" t="s">
        <v>12</v>
      </c>
      <c r="G17" s="7">
        <v>7.57</v>
      </c>
      <c r="H17" s="7" t="s">
        <v>13</v>
      </c>
      <c r="I17" s="7" t="s">
        <v>31</v>
      </c>
      <c r="J17" s="10">
        <v>39937</v>
      </c>
    </row>
    <row r="18" spans="1:10">
      <c r="A18" s="6" t="s">
        <v>32</v>
      </c>
      <c r="B18" s="6" t="s">
        <v>11</v>
      </c>
      <c r="C18" s="6">
        <v>42</v>
      </c>
      <c r="D18" s="6">
        <v>1186.06</v>
      </c>
      <c r="E18" s="6">
        <v>0.09</v>
      </c>
      <c r="F18" s="6" t="s">
        <v>12</v>
      </c>
      <c r="G18" s="6">
        <v>511.69</v>
      </c>
      <c r="H18" s="6" t="s">
        <v>18</v>
      </c>
      <c r="I18" s="6" t="s">
        <v>14</v>
      </c>
      <c r="J18" s="9">
        <v>40671</v>
      </c>
    </row>
    <row r="19" spans="1:10">
      <c r="A19" s="7" t="s">
        <v>38</v>
      </c>
      <c r="B19" s="7" t="s">
        <v>34</v>
      </c>
      <c r="C19" s="7">
        <v>46</v>
      </c>
      <c r="D19" s="7">
        <v>2484.7455</v>
      </c>
      <c r="E19" s="7">
        <v>0.1</v>
      </c>
      <c r="F19" s="7" t="s">
        <v>12</v>
      </c>
      <c r="G19" s="7">
        <v>657.48</v>
      </c>
      <c r="H19" s="7" t="s">
        <v>13</v>
      </c>
      <c r="I19" s="7" t="s">
        <v>36</v>
      </c>
      <c r="J19" s="10">
        <v>39940</v>
      </c>
    </row>
    <row r="20" spans="1:10">
      <c r="A20" s="6" t="s">
        <v>39</v>
      </c>
      <c r="B20" s="6" t="s">
        <v>20</v>
      </c>
      <c r="C20" s="6">
        <v>46</v>
      </c>
      <c r="D20" s="6">
        <v>7804.53</v>
      </c>
      <c r="E20" s="6">
        <v>0.05</v>
      </c>
      <c r="F20" s="6" t="s">
        <v>12</v>
      </c>
      <c r="G20" s="6">
        <v>2057.17</v>
      </c>
      <c r="H20" s="6" t="s">
        <v>40</v>
      </c>
      <c r="I20" s="6" t="s">
        <v>36</v>
      </c>
      <c r="J20" s="9">
        <v>40887</v>
      </c>
    </row>
    <row r="21" spans="1:10">
      <c r="A21" s="7" t="s">
        <v>39</v>
      </c>
      <c r="B21" s="7" t="s">
        <v>20</v>
      </c>
      <c r="C21" s="7">
        <v>48</v>
      </c>
      <c r="D21" s="7">
        <v>90.05</v>
      </c>
      <c r="E21" s="7">
        <v>0.03</v>
      </c>
      <c r="F21" s="7" t="s">
        <v>12</v>
      </c>
      <c r="G21" s="7">
        <v>-107</v>
      </c>
      <c r="H21" s="7" t="s">
        <v>40</v>
      </c>
      <c r="I21" s="7" t="s">
        <v>36</v>
      </c>
      <c r="J21" s="10">
        <v>40828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Lookup Solutions</vt:lpstr>
      <vt:lpstr>Pivot Sheet1</vt:lpstr>
      <vt:lpstr>Pivot Sheet2</vt:lpstr>
      <vt:lpstr>Pivot Sheet3</vt:lpstr>
      <vt:lpstr>Pivot Sheet4</vt:lpstr>
      <vt:lpstr>Pivot Sheet5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precious</cp:lastModifiedBy>
  <dcterms:created xsi:type="dcterms:W3CDTF">2026-05-26T22:25:11Z</dcterms:created>
  <dcterms:modified xsi:type="dcterms:W3CDTF">2026-05-27T04:25:28Z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987C396452464BE49DF3EC943B2CCCB6_11</vt:lpwstr>
  </property>
  <property fmtid="{D5CDD505-2E9C-101B-9397-08002B2CF9AE}" pid="3" name="KSOProductBuildVer">
    <vt:lpwstr>2057-12.2.0.23202</vt:lpwstr>
  </property>
</Properties>
</file>